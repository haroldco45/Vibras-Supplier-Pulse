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.DISTRILEC\Desktop\informes\"/>
    </mc:Choice>
  </mc:AlternateContent>
  <xr:revisionPtr revIDLastSave="0" documentId="8_{3917AA3F-1B3A-43B3-A4CB-7B3F49F953E6}" xr6:coauthVersionLast="47" xr6:coauthVersionMax="47" xr10:uidLastSave="{00000000-0000-0000-0000-000000000000}"/>
  <bookViews>
    <workbookView xWindow="-120" yWindow="-120" windowWidth="29040" windowHeight="15840"/>
  </bookViews>
  <sheets>
    <sheet name="cxphoy" sheetId="1" r:id="rId1"/>
  </sheets>
  <definedNames>
    <definedName name="_xlnm._FilterDatabase" localSheetId="0" hidden="1">cxphoy!$A$1:$X$242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3" i="1"/>
  <c r="O2" i="1"/>
</calcChain>
</file>

<file path=xl/sharedStrings.xml><?xml version="1.0" encoding="utf-8"?>
<sst xmlns="http://schemas.openxmlformats.org/spreadsheetml/2006/main" count="2916" uniqueCount="801">
  <si>
    <t>numero</t>
  </si>
  <si>
    <t>documento</t>
  </si>
  <si>
    <t>mes</t>
  </si>
  <si>
    <t>anulado</t>
  </si>
  <si>
    <t>nit</t>
  </si>
  <si>
    <t>zona</t>
  </si>
  <si>
    <t>fecha</t>
  </si>
  <si>
    <t>vencimiento</t>
  </si>
  <si>
    <t>valor</t>
  </si>
  <si>
    <t>saldo_ini_mes</t>
  </si>
  <si>
    <t>debitos</t>
  </si>
  <si>
    <t>creditos</t>
  </si>
  <si>
    <t>gasto</t>
  </si>
  <si>
    <t>saldo_inicial</t>
  </si>
  <si>
    <t>cuentacontable</t>
  </si>
  <si>
    <t>razon_social</t>
  </si>
  <si>
    <t>direccion</t>
  </si>
  <si>
    <t>ciudad</t>
  </si>
  <si>
    <t>fax</t>
  </si>
  <si>
    <t>telefonos</t>
  </si>
  <si>
    <t>email</t>
  </si>
  <si>
    <t>plazo_credito</t>
  </si>
  <si>
    <t>fechacreacion</t>
  </si>
  <si>
    <t>PA107732</t>
  </si>
  <si>
    <t>00033632</t>
  </si>
  <si>
    <t>202603</t>
  </si>
  <si>
    <t>900013340-0</t>
  </si>
  <si>
    <t>01</t>
  </si>
  <si>
    <t>220501</t>
  </si>
  <si>
    <t>AGROCAUCA INSUMOS AGROPECUARIOS S.A.S.</t>
  </si>
  <si>
    <t>CLL 36 Nº 36-00</t>
  </si>
  <si>
    <t>CAUCASIA</t>
  </si>
  <si>
    <t/>
  </si>
  <si>
    <t>8390253</t>
  </si>
  <si>
    <t>IT017116125</t>
  </si>
  <si>
    <t>00033654</t>
  </si>
  <si>
    <t>800186960-6</t>
  </si>
  <si>
    <t>ALTIPAL  S.A.</t>
  </si>
  <si>
    <t>CLL 24 Nº 13-80 LOC 11 Centro</t>
  </si>
  <si>
    <t>MONTERIA</t>
  </si>
  <si>
    <t>795-81-81</t>
  </si>
  <si>
    <t>IT017116127</t>
  </si>
  <si>
    <t>00033655</t>
  </si>
  <si>
    <t>IT017130364</t>
  </si>
  <si>
    <t>00033735</t>
  </si>
  <si>
    <t>IT017130365</t>
  </si>
  <si>
    <t>00033736</t>
  </si>
  <si>
    <t>00000526</t>
  </si>
  <si>
    <t>DSE00018077</t>
  </si>
  <si>
    <t>1038093967</t>
  </si>
  <si>
    <t>ARIAS RESTREPO SERGIO ANDRES</t>
  </si>
  <si>
    <t>CLL 25 BRR SAN MIGUEL</t>
  </si>
  <si>
    <t>3126554987</t>
  </si>
  <si>
    <t>00FE8277</t>
  </si>
  <si>
    <t>00033548</t>
  </si>
  <si>
    <t>900520383-1</t>
  </si>
  <si>
    <t>ARROCERA AGUA CLARA S.A.S.</t>
  </si>
  <si>
    <t>CALLE 7 #5A-66 Zona Industrial</t>
  </si>
  <si>
    <t>CUCUTA</t>
  </si>
  <si>
    <t>5799615</t>
  </si>
  <si>
    <t>097-5799615</t>
  </si>
  <si>
    <t>tesoreria@arrozaguaclara.com</t>
  </si>
  <si>
    <t>00FE8310</t>
  </si>
  <si>
    <t>00033585</t>
  </si>
  <si>
    <t>00FE8343</t>
  </si>
  <si>
    <t>00033665</t>
  </si>
  <si>
    <t>00FE8357</t>
  </si>
  <si>
    <t>00033661</t>
  </si>
  <si>
    <t>00FE8418</t>
  </si>
  <si>
    <t>00033751</t>
  </si>
  <si>
    <t>00000256</t>
  </si>
  <si>
    <t>DSE00014379</t>
  </si>
  <si>
    <t>21950700</t>
  </si>
  <si>
    <t>BADILLO RODRIGUEZ ALEXANDRA</t>
  </si>
  <si>
    <t>CLLE 51 FRENTE DEPOSITO MAZORCA</t>
  </si>
  <si>
    <t>3108100006</t>
  </si>
  <si>
    <t>00000156</t>
  </si>
  <si>
    <t>5FEG37924</t>
  </si>
  <si>
    <t>00033640</t>
  </si>
  <si>
    <t>900742771-9</t>
  </si>
  <si>
    <t>BERHLAN DE COLOMBIA S.A.S.</t>
  </si>
  <si>
    <t>KM 12 VIA AL VALLE</t>
  </si>
  <si>
    <t>3153031547</t>
  </si>
  <si>
    <t>contadorimpuestosberhla@gmail.</t>
  </si>
  <si>
    <t>5FEG38245</t>
  </si>
  <si>
    <t>00033737</t>
  </si>
  <si>
    <t>SA100007172</t>
  </si>
  <si>
    <t>00033615</t>
  </si>
  <si>
    <t>800221789-2</t>
  </si>
  <si>
    <t>BRINSA S.A.</t>
  </si>
  <si>
    <t>KM 11 VIA A MAMONAL</t>
  </si>
  <si>
    <t>CARTAGENA</t>
  </si>
  <si>
    <t>091-484 6014</t>
  </si>
  <si>
    <t>informacion@brinsa.com.co</t>
  </si>
  <si>
    <t>SA100007736</t>
  </si>
  <si>
    <t>00033638</t>
  </si>
  <si>
    <t>SA100008674</t>
  </si>
  <si>
    <t>00033660</t>
  </si>
  <si>
    <t>SA100012047</t>
  </si>
  <si>
    <t>00033711</t>
  </si>
  <si>
    <t>SA100012959</t>
  </si>
  <si>
    <t>00033722</t>
  </si>
  <si>
    <t>00000116</t>
  </si>
  <si>
    <t>DSE00018047</t>
  </si>
  <si>
    <t>92188424</t>
  </si>
  <si>
    <t>CASTELLAR NAVARRO LORENZO NICOLAS</t>
  </si>
  <si>
    <t>CL 27 1 07</t>
  </si>
  <si>
    <t>3113896092</t>
  </si>
  <si>
    <t>C27759570</t>
  </si>
  <si>
    <t>00033641</t>
  </si>
  <si>
    <t>900341086-0</t>
  </si>
  <si>
    <t>COMERCIAL NUTRESA S.A.S.</t>
  </si>
  <si>
    <t>CR 52 Nº 20-124</t>
  </si>
  <si>
    <t>MEDELLIN</t>
  </si>
  <si>
    <t>3205714303</t>
  </si>
  <si>
    <t>C27764027</t>
  </si>
  <si>
    <t>00033653</t>
  </si>
  <si>
    <t>C27772666</t>
  </si>
  <si>
    <t>00033676</t>
  </si>
  <si>
    <t>C27772667</t>
  </si>
  <si>
    <t>00033677</t>
  </si>
  <si>
    <t>C27781919</t>
  </si>
  <si>
    <t>00033695</t>
  </si>
  <si>
    <t>C27800322</t>
  </si>
  <si>
    <t>00033710</t>
  </si>
  <si>
    <t>C27811431</t>
  </si>
  <si>
    <t>00033727</t>
  </si>
  <si>
    <t>C27811432</t>
  </si>
  <si>
    <t>00033728</t>
  </si>
  <si>
    <t>00002415</t>
  </si>
  <si>
    <t>00033528</t>
  </si>
  <si>
    <t>901660560-2</t>
  </si>
  <si>
    <t>COMERCIALIZADORA CIDELAC S.A.S</t>
  </si>
  <si>
    <t>KM 1 75 CC 31 107 BOG11</t>
  </si>
  <si>
    <t>3157707906</t>
  </si>
  <si>
    <t>00002510</t>
  </si>
  <si>
    <t>00033607</t>
  </si>
  <si>
    <t>00002550</t>
  </si>
  <si>
    <t>00033666</t>
  </si>
  <si>
    <t>00002582</t>
  </si>
  <si>
    <t>00033687</t>
  </si>
  <si>
    <t>00002633</t>
  </si>
  <si>
    <t>00033750</t>
  </si>
  <si>
    <t>0FEV2057</t>
  </si>
  <si>
    <t>00033525</t>
  </si>
  <si>
    <t>900488939-1</t>
  </si>
  <si>
    <t>COMERCIALIZADORA G Y H S.A.S</t>
  </si>
  <si>
    <t>CALLE 26#35-89 Brio San Benito</t>
  </si>
  <si>
    <t>VILLAVICENCIO</t>
  </si>
  <si>
    <t>098-6604207</t>
  </si>
  <si>
    <t>320-569 3426</t>
  </si>
  <si>
    <t>FEFA1608</t>
  </si>
  <si>
    <t>00033570</t>
  </si>
  <si>
    <t>FEFA1620</t>
  </si>
  <si>
    <t>00033593</t>
  </si>
  <si>
    <t>FEFA1627</t>
  </si>
  <si>
    <t>00033630</t>
  </si>
  <si>
    <t>0FEV2071</t>
  </si>
  <si>
    <t>00033643</t>
  </si>
  <si>
    <t>FEFA1632</t>
  </si>
  <si>
    <t>00033644</t>
  </si>
  <si>
    <t>FEFA1640</t>
  </si>
  <si>
    <t>00033697</t>
  </si>
  <si>
    <t>F42500840</t>
  </si>
  <si>
    <t>00012199</t>
  </si>
  <si>
    <t>860037013-6</t>
  </si>
  <si>
    <t>98</t>
  </si>
  <si>
    <t>COMPAÑIA MUNDIAL DE SEGUROS S.A.</t>
  </si>
  <si>
    <t>CR 43B N 16 95</t>
  </si>
  <si>
    <t>F4250836</t>
  </si>
  <si>
    <t>00012200</t>
  </si>
  <si>
    <t>F4250847</t>
  </si>
  <si>
    <t>00012198</t>
  </si>
  <si>
    <t>FECD1435</t>
  </si>
  <si>
    <t>00033602</t>
  </si>
  <si>
    <t>900069227-7</t>
  </si>
  <si>
    <t>CONCENTRADOS LA DELICIA S.A.S.</t>
  </si>
  <si>
    <t>CRA 48A Nª 85C-43</t>
  </si>
  <si>
    <t>ITAGUI</t>
  </si>
  <si>
    <t>2110538</t>
  </si>
  <si>
    <t>3152596997</t>
  </si>
  <si>
    <t>P2041958279</t>
  </si>
  <si>
    <t>00011904</t>
  </si>
  <si>
    <t>890900943-1</t>
  </si>
  <si>
    <t>CORBETA S.A</t>
  </si>
  <si>
    <t>CLL 1 Nº 50 D 06 GUAYABAL</t>
  </si>
  <si>
    <t>3615221</t>
  </si>
  <si>
    <t>3611300</t>
  </si>
  <si>
    <t>COLDECOM@COLCOMERCIO.COM</t>
  </si>
  <si>
    <t>P2041970671</t>
  </si>
  <si>
    <t>00033526</t>
  </si>
  <si>
    <t>P2041970672</t>
  </si>
  <si>
    <t>00033527</t>
  </si>
  <si>
    <t>P2041983140</t>
  </si>
  <si>
    <t>00033574</t>
  </si>
  <si>
    <t>P2041983141</t>
  </si>
  <si>
    <t>00033575</t>
  </si>
  <si>
    <t>P2041990392</t>
  </si>
  <si>
    <t>00012320</t>
  </si>
  <si>
    <t>P2041990267</t>
  </si>
  <si>
    <t>00033623</t>
  </si>
  <si>
    <t>P2041990268</t>
  </si>
  <si>
    <t>00033624</t>
  </si>
  <si>
    <t>P2041990269</t>
  </si>
  <si>
    <t>00033625</t>
  </si>
  <si>
    <t>P2041996592</t>
  </si>
  <si>
    <t>00033662</t>
  </si>
  <si>
    <t>P2041996593</t>
  </si>
  <si>
    <t>00033663</t>
  </si>
  <si>
    <t>P2041996598</t>
  </si>
  <si>
    <t>00033664</t>
  </si>
  <si>
    <t>P2041999558</t>
  </si>
  <si>
    <t>00033673</t>
  </si>
  <si>
    <t>P2041999564</t>
  </si>
  <si>
    <t>00033672</t>
  </si>
  <si>
    <t>P2042008123</t>
  </si>
  <si>
    <t>00033712</t>
  </si>
  <si>
    <t>P2042009645</t>
  </si>
  <si>
    <t>00033720</t>
  </si>
  <si>
    <t>P2042009649</t>
  </si>
  <si>
    <t>00033721</t>
  </si>
  <si>
    <t>DC127729</t>
  </si>
  <si>
    <t>00012462</t>
  </si>
  <si>
    <t>811021848-0</t>
  </si>
  <si>
    <t>DAES S.A. ESTACION SAN RAFAEL</t>
  </si>
  <si>
    <t>Km 1 Salida a Medellin</t>
  </si>
  <si>
    <t>154CAUCASIA</t>
  </si>
  <si>
    <t>8395493</t>
  </si>
  <si>
    <t>839 29 63</t>
  </si>
  <si>
    <t>DC127811</t>
  </si>
  <si>
    <t>00012555</t>
  </si>
  <si>
    <t>1372797445</t>
  </si>
  <si>
    <t>00033637</t>
  </si>
  <si>
    <t>860031606-6</t>
  </si>
  <si>
    <t>DIANA CORPORACION S.A.S.</t>
  </si>
  <si>
    <t>Carrera 13 No. 93 - 24</t>
  </si>
  <si>
    <t>0316231799</t>
  </si>
  <si>
    <t>4304442002</t>
  </si>
  <si>
    <t>00033576</t>
  </si>
  <si>
    <t>890301163-3</t>
  </si>
  <si>
    <t>DISTRIBUIDORA COLOMBINA LTDA</t>
  </si>
  <si>
    <t>LA ELIANA PARAJE DE TAPIAS</t>
  </si>
  <si>
    <t>2339747</t>
  </si>
  <si>
    <t>4304442003</t>
  </si>
  <si>
    <t>00033577</t>
  </si>
  <si>
    <t>4304442004</t>
  </si>
  <si>
    <t>00033578</t>
  </si>
  <si>
    <t>4304443181</t>
  </si>
  <si>
    <t>00033581</t>
  </si>
  <si>
    <t>4304443182</t>
  </si>
  <si>
    <t>00033582</t>
  </si>
  <si>
    <t>4304509114</t>
  </si>
  <si>
    <t>00033618</t>
  </si>
  <si>
    <t>4304509115</t>
  </si>
  <si>
    <t>00033619</t>
  </si>
  <si>
    <t>4304509116</t>
  </si>
  <si>
    <t>00033620</t>
  </si>
  <si>
    <t>4304509117</t>
  </si>
  <si>
    <t>00033621</t>
  </si>
  <si>
    <t>4304509118</t>
  </si>
  <si>
    <t>00033622</t>
  </si>
  <si>
    <t>4304567892</t>
  </si>
  <si>
    <t>00033671</t>
  </si>
  <si>
    <t>4304624953</t>
  </si>
  <si>
    <t>00033690</t>
  </si>
  <si>
    <t>4304624954</t>
  </si>
  <si>
    <t>00033691</t>
  </si>
  <si>
    <t>4304661016</t>
  </si>
  <si>
    <t>00033703</t>
  </si>
  <si>
    <t>4304661017</t>
  </si>
  <si>
    <t>00033704</t>
  </si>
  <si>
    <t>4304661018</t>
  </si>
  <si>
    <t>00033705</t>
  </si>
  <si>
    <t>4304680555</t>
  </si>
  <si>
    <t>00033714</t>
  </si>
  <si>
    <t>4304710172</t>
  </si>
  <si>
    <t>00033715</t>
  </si>
  <si>
    <t>4304710175</t>
  </si>
  <si>
    <t>00033716</t>
  </si>
  <si>
    <t>4304710182</t>
  </si>
  <si>
    <t>00033717</t>
  </si>
  <si>
    <t>4304767592</t>
  </si>
  <si>
    <t>00033747</t>
  </si>
  <si>
    <t>4304767594</t>
  </si>
  <si>
    <t>00033748</t>
  </si>
  <si>
    <t>4304767595</t>
  </si>
  <si>
    <t>00033749</t>
  </si>
  <si>
    <t>00004911</t>
  </si>
  <si>
    <t>DSE00012335</t>
  </si>
  <si>
    <t>70541498</t>
  </si>
  <si>
    <t>DUQUE QUIÑONES DANY DUVAN</t>
  </si>
  <si>
    <t>BRR LA COLOMBIANITA</t>
  </si>
  <si>
    <t>3234213226</t>
  </si>
  <si>
    <t>00000490</t>
  </si>
  <si>
    <t>660127102</t>
  </si>
  <si>
    <t>00033713</t>
  </si>
  <si>
    <t>890104438-9</t>
  </si>
  <si>
    <t>EMPAQUES TRANSPARENTES S.A.</t>
  </si>
  <si>
    <t>CRA 67 VIA 40 #40-107</t>
  </si>
  <si>
    <t>001BARRANQUILLA</t>
  </si>
  <si>
    <t>3442758</t>
  </si>
  <si>
    <t>095-3442760</t>
  </si>
  <si>
    <t>ventas@empaquestransparenes.co</t>
  </si>
  <si>
    <t>FE605628</t>
  </si>
  <si>
    <t>00033675</t>
  </si>
  <si>
    <t>900314952-1</t>
  </si>
  <si>
    <t>EMPAQUETADOS EL TRECE S.A.S</t>
  </si>
  <si>
    <t>CENTRAL MAYORISTA BL 13</t>
  </si>
  <si>
    <t>FE607904</t>
  </si>
  <si>
    <t>00033746</t>
  </si>
  <si>
    <t>00000011</t>
  </si>
  <si>
    <t>DSE00016171</t>
  </si>
  <si>
    <t>1102854523</t>
  </si>
  <si>
    <t>ENAMORADO SILGADO GLEIDYS MILENA</t>
  </si>
  <si>
    <t>CLL 17 N° 4-20 CAUCASIA ANT.</t>
  </si>
  <si>
    <t>glemi11@hotmail.com</t>
  </si>
  <si>
    <t>00001011</t>
  </si>
  <si>
    <t>DSE00016174</t>
  </si>
  <si>
    <t>000BC785</t>
  </si>
  <si>
    <t>00009681</t>
  </si>
  <si>
    <t>901041591-5</t>
  </si>
  <si>
    <t>ENSEK S.A.S</t>
  </si>
  <si>
    <t>CR 55B 26A 98LC2710</t>
  </si>
  <si>
    <t>3228533</t>
  </si>
  <si>
    <t>00BC1227</t>
  </si>
  <si>
    <t>00012498</t>
  </si>
  <si>
    <t>FN240006325</t>
  </si>
  <si>
    <t>00033588</t>
  </si>
  <si>
    <t>800137370-1</t>
  </si>
  <si>
    <t>FONANDES S.A.S</t>
  </si>
  <si>
    <t>Troncal Cent Norte KM 34</t>
  </si>
  <si>
    <t>SOPO</t>
  </si>
  <si>
    <t>8574019</t>
  </si>
  <si>
    <t>FN240007037</t>
  </si>
  <si>
    <t>00033699</t>
  </si>
  <si>
    <t>FN240007071</t>
  </si>
  <si>
    <t>00033700</t>
  </si>
  <si>
    <t>FN240007073</t>
  </si>
  <si>
    <t>00033701</t>
  </si>
  <si>
    <t>00002288</t>
  </si>
  <si>
    <t>DSE00017539</t>
  </si>
  <si>
    <t>6892869</t>
  </si>
  <si>
    <t>33</t>
  </si>
  <si>
    <t>GARCIA ALZATE LUIS ALBERTO</t>
  </si>
  <si>
    <t>CALLE PRINCIPAL</t>
  </si>
  <si>
    <t>00005075</t>
  </si>
  <si>
    <t>DSE00017315</t>
  </si>
  <si>
    <t>98585327</t>
  </si>
  <si>
    <t>GARCIA CASTRO RICARDO DE JESUS</t>
  </si>
  <si>
    <t>CR 74 98 70</t>
  </si>
  <si>
    <t>3108987393</t>
  </si>
  <si>
    <t>RICHARD.395352@GMAIL.COM</t>
  </si>
  <si>
    <t>00004448</t>
  </si>
  <si>
    <t>DSE00016845</t>
  </si>
  <si>
    <t>8010312-5</t>
  </si>
  <si>
    <t>GARCIA RENDON GERMAN GUSTAVO</t>
  </si>
  <si>
    <t>CL BUENOS AIRES 33 04</t>
  </si>
  <si>
    <t>ZARAGOZA</t>
  </si>
  <si>
    <t>8389084</t>
  </si>
  <si>
    <t>FE318985</t>
  </si>
  <si>
    <t>00033734</t>
  </si>
  <si>
    <t>900279378-1</t>
  </si>
  <si>
    <t>GRANIPACK S.A.S.</t>
  </si>
  <si>
    <t>CENTRAL MAYORISTA BLQ 5 LOCAL 13</t>
  </si>
  <si>
    <t>3615890</t>
  </si>
  <si>
    <t>448 23 44</t>
  </si>
  <si>
    <t>granipack@gmail.com</t>
  </si>
  <si>
    <t>0FEP2142</t>
  </si>
  <si>
    <t>00012597</t>
  </si>
  <si>
    <t>900979888-1</t>
  </si>
  <si>
    <t>IMPORTADORA TODO PESADOS S.A.S.</t>
  </si>
  <si>
    <t>CL 45 N°60-16 BR TRISTE</t>
  </si>
  <si>
    <t>3003656598</t>
  </si>
  <si>
    <t>lilianamendoza015@hotmail.com</t>
  </si>
  <si>
    <t>0FEP2195</t>
  </si>
  <si>
    <t>00012596</t>
  </si>
  <si>
    <t>FENV44316</t>
  </si>
  <si>
    <t>00033522</t>
  </si>
  <si>
    <t>890900045-2</t>
  </si>
  <si>
    <t>INDUSTRIA JABONERA LA JIRAFA S.A.S.</t>
  </si>
  <si>
    <t>CRA 50 No 27 SUR-30</t>
  </si>
  <si>
    <t>ENVIGADO</t>
  </si>
  <si>
    <t>3314736</t>
  </si>
  <si>
    <t>4035050</t>
  </si>
  <si>
    <t>FENV44417</t>
  </si>
  <si>
    <t>00033532</t>
  </si>
  <si>
    <t>FENV45115</t>
  </si>
  <si>
    <t>00033652</t>
  </si>
  <si>
    <t>FENV45108</t>
  </si>
  <si>
    <t>00033656</t>
  </si>
  <si>
    <t>FENV45659</t>
  </si>
  <si>
    <t>00033730</t>
  </si>
  <si>
    <t>FENV45660</t>
  </si>
  <si>
    <t>00033731</t>
  </si>
  <si>
    <t>6810742329</t>
  </si>
  <si>
    <t>00033533</t>
  </si>
  <si>
    <t>891300238-6</t>
  </si>
  <si>
    <t>INGENIO PROVIDENCIA S.A.</t>
  </si>
  <si>
    <t>CRA 9 Nº 28-103</t>
  </si>
  <si>
    <t>CALI</t>
  </si>
  <si>
    <t>0924384</t>
  </si>
  <si>
    <t>092 4384950</t>
  </si>
  <si>
    <t>6810744118</t>
  </si>
  <si>
    <t>00033681</t>
  </si>
  <si>
    <t>00AB2338</t>
  </si>
  <si>
    <t>00033413</t>
  </si>
  <si>
    <t>901430492-3</t>
  </si>
  <si>
    <t>INVERAGRO SAN ANDRES S.A.S</t>
  </si>
  <si>
    <t>AV 6 0 168 BRR LA INSULA</t>
  </si>
  <si>
    <t>3134184612</t>
  </si>
  <si>
    <t>contabilidad@arrozsanandres.co</t>
  </si>
  <si>
    <t>FVE432585</t>
  </si>
  <si>
    <t>00033629</t>
  </si>
  <si>
    <t>901103498-5</t>
  </si>
  <si>
    <t>INVERSIONES SURTIORIENTE S.A.S.</t>
  </si>
  <si>
    <t>TRANVS 21 A # 17-19 EL TOTUMO</t>
  </si>
  <si>
    <t>7746436</t>
  </si>
  <si>
    <t>7746493</t>
  </si>
  <si>
    <t>contacto@proveoriente.com</t>
  </si>
  <si>
    <t>00A25848</t>
  </si>
  <si>
    <t>00033610</t>
  </si>
  <si>
    <t>900375414-1</t>
  </si>
  <si>
    <t>INVERSIONES ZULUAGA DUQUE S.A.S</t>
  </si>
  <si>
    <t>CLL 85 47 BL 4 LC 10</t>
  </si>
  <si>
    <t>6044841014</t>
  </si>
  <si>
    <t>00A26031</t>
  </si>
  <si>
    <t>00033659</t>
  </si>
  <si>
    <t>00A26104</t>
  </si>
  <si>
    <t>00033694</t>
  </si>
  <si>
    <t>CNS2479070</t>
  </si>
  <si>
    <t>00033680</t>
  </si>
  <si>
    <t>890101815-9</t>
  </si>
  <si>
    <t>KENVUE COLOMBIA S.A</t>
  </si>
  <si>
    <t>CL  15 1 146</t>
  </si>
  <si>
    <t>YUMBO</t>
  </si>
  <si>
    <t>6513454</t>
  </si>
  <si>
    <t>092 651 33 33</t>
  </si>
  <si>
    <t>notificaionesjudiciales@kenve.</t>
  </si>
  <si>
    <t>CNS2480505</t>
  </si>
  <si>
    <t>00033729</t>
  </si>
  <si>
    <t>CNS2481284</t>
  </si>
  <si>
    <t>00033732</t>
  </si>
  <si>
    <t>CNS2481285</t>
  </si>
  <si>
    <t>00033733</t>
  </si>
  <si>
    <t>LC445984</t>
  </si>
  <si>
    <t>00033613</t>
  </si>
  <si>
    <t>890100363-7</t>
  </si>
  <si>
    <t>LABORATORIOS COFARMA S.A.</t>
  </si>
  <si>
    <t>CR 43 N°54-14</t>
  </si>
  <si>
    <t>3716888</t>
  </si>
  <si>
    <t>servicio.cliente@cofarma.com</t>
  </si>
  <si>
    <t>LC446423</t>
  </si>
  <si>
    <t>00033682</t>
  </si>
  <si>
    <t>LC447169</t>
  </si>
  <si>
    <t>00033726</t>
  </si>
  <si>
    <t>COH46002071</t>
  </si>
  <si>
    <t>00033635</t>
  </si>
  <si>
    <t>800245795-0</t>
  </si>
  <si>
    <t>LACTALIS COLOMBIA S.A.S</t>
  </si>
  <si>
    <t>DG 182 20 84</t>
  </si>
  <si>
    <t>2578325</t>
  </si>
  <si>
    <t>4412121</t>
  </si>
  <si>
    <t>IMPUESTOS@CO.LACTALIS.COM</t>
  </si>
  <si>
    <t>COH46002074</t>
  </si>
  <si>
    <t>00033636</t>
  </si>
  <si>
    <t>COH46002080</t>
  </si>
  <si>
    <t>00033642</t>
  </si>
  <si>
    <t>COH46002105</t>
  </si>
  <si>
    <t>00033683</t>
  </si>
  <si>
    <t>COH46002106</t>
  </si>
  <si>
    <t>00033684</t>
  </si>
  <si>
    <t>COH46002124</t>
  </si>
  <si>
    <t>00033696</t>
  </si>
  <si>
    <t>COH46002133</t>
  </si>
  <si>
    <t>00033707</t>
  </si>
  <si>
    <t>COH46002134</t>
  </si>
  <si>
    <t>00033708</t>
  </si>
  <si>
    <t>COH46002152</t>
  </si>
  <si>
    <t>00033723</t>
  </si>
  <si>
    <t>COH46002155</t>
  </si>
  <si>
    <t>00033724</t>
  </si>
  <si>
    <t>COH46002165</t>
  </si>
  <si>
    <t>00033742</t>
  </si>
  <si>
    <t>DSE00018073</t>
  </si>
  <si>
    <t>39279503-3</t>
  </si>
  <si>
    <t>LOPEZ ALMANZA ARELYS SOFIA</t>
  </si>
  <si>
    <t>CR 18 N 27-24</t>
  </si>
  <si>
    <t>00001387</t>
  </si>
  <si>
    <t>DSE00017089</t>
  </si>
  <si>
    <t>8047027</t>
  </si>
  <si>
    <t>MARTINEZ PALENCIA ELKIN JOSE</t>
  </si>
  <si>
    <t>CR 15 #34-95 BRR EL BOSQUE</t>
  </si>
  <si>
    <t>3224224619</t>
  </si>
  <si>
    <t>FBQ21613</t>
  </si>
  <si>
    <t>00033648</t>
  </si>
  <si>
    <t>900414280-8</t>
  </si>
  <si>
    <t>MEGACEITES S.A.S.</t>
  </si>
  <si>
    <t>BRR MARTINEZ MARTELO TV 24 # 20-17</t>
  </si>
  <si>
    <t>6628180</t>
  </si>
  <si>
    <t>lilialvarez@megatiendas.com.co</t>
  </si>
  <si>
    <t>FBQ21614</t>
  </si>
  <si>
    <t>00033649</t>
  </si>
  <si>
    <t>FBQ21618</t>
  </si>
  <si>
    <t>00033650</t>
  </si>
  <si>
    <t>FBQ21619</t>
  </si>
  <si>
    <t>00033651</t>
  </si>
  <si>
    <t>FBQ22226</t>
  </si>
  <si>
    <t>00033718</t>
  </si>
  <si>
    <t>FBQ22227</t>
  </si>
  <si>
    <t>00033719</t>
  </si>
  <si>
    <t>00001228</t>
  </si>
  <si>
    <t>DSE00016767</t>
  </si>
  <si>
    <t>39421130</t>
  </si>
  <si>
    <t>28</t>
  </si>
  <si>
    <t>MEJIA CARDENAS ABRIL EMELIA</t>
  </si>
  <si>
    <t>CLL LA MISERICORDIA CRA 30 N 52-28</t>
  </si>
  <si>
    <t>8368084</t>
  </si>
  <si>
    <t>3122105924</t>
  </si>
  <si>
    <t>00001230</t>
  </si>
  <si>
    <t>DSE00016770</t>
  </si>
  <si>
    <t>00023768</t>
  </si>
  <si>
    <t>00032901</t>
  </si>
  <si>
    <t>71592269-1</t>
  </si>
  <si>
    <t>NELSON ALVAREZ ALVAREZ</t>
  </si>
  <si>
    <t>Central M  BL 11 LOC 15-16</t>
  </si>
  <si>
    <t>2855925</t>
  </si>
  <si>
    <t>285 45 85</t>
  </si>
  <si>
    <t>locales 15 y 16</t>
  </si>
  <si>
    <t>00023801</t>
  </si>
  <si>
    <t>00032930</t>
  </si>
  <si>
    <t>00023809</t>
  </si>
  <si>
    <t>00032931</t>
  </si>
  <si>
    <t>00023908</t>
  </si>
  <si>
    <t>00032962</t>
  </si>
  <si>
    <t>00024047</t>
  </si>
  <si>
    <t>00032996</t>
  </si>
  <si>
    <t>00024056</t>
  </si>
  <si>
    <t>00033009</t>
  </si>
  <si>
    <t>00024193</t>
  </si>
  <si>
    <t>00033066</t>
  </si>
  <si>
    <t>00025306</t>
  </si>
  <si>
    <t>00033460</t>
  </si>
  <si>
    <t>00025313</t>
  </si>
  <si>
    <t>00033461</t>
  </si>
  <si>
    <t>00072300</t>
  </si>
  <si>
    <t>00033487</t>
  </si>
  <si>
    <t>00025989</t>
  </si>
  <si>
    <t>00033647</t>
  </si>
  <si>
    <t>00026089</t>
  </si>
  <si>
    <t>00033698</t>
  </si>
  <si>
    <t>00026095</t>
  </si>
  <si>
    <t>00033702</t>
  </si>
  <si>
    <t>00026140</t>
  </si>
  <si>
    <t>00033706</t>
  </si>
  <si>
    <t>00026202</t>
  </si>
  <si>
    <t>00033739</t>
  </si>
  <si>
    <t>00001539</t>
  </si>
  <si>
    <t>DSE00017578</t>
  </si>
  <si>
    <t>26230928</t>
  </si>
  <si>
    <t>OVIEDO ARTUZ LEDYS MARIA</t>
  </si>
  <si>
    <t>KM 12 VIA MEDELLIN</t>
  </si>
  <si>
    <t>125595537</t>
  </si>
  <si>
    <t>00033589</t>
  </si>
  <si>
    <t>890900161-9</t>
  </si>
  <si>
    <t>PRODUCTOS FAMILIA  S.A.</t>
  </si>
  <si>
    <t>CRA 50 Nº  8 SUR - 161</t>
  </si>
  <si>
    <t>3609500</t>
  </si>
  <si>
    <t>3609600</t>
  </si>
  <si>
    <t>125595538</t>
  </si>
  <si>
    <t>00033590</t>
  </si>
  <si>
    <t>125595539</t>
  </si>
  <si>
    <t>00033591</t>
  </si>
  <si>
    <t>125595541</t>
  </si>
  <si>
    <t>00033592</t>
  </si>
  <si>
    <t>125598014</t>
  </si>
  <si>
    <t>00033616</t>
  </si>
  <si>
    <t>125598015</t>
  </si>
  <si>
    <t>00033617</t>
  </si>
  <si>
    <t>125598989</t>
  </si>
  <si>
    <t>00033634</t>
  </si>
  <si>
    <t>125601262</t>
  </si>
  <si>
    <t>00033657</t>
  </si>
  <si>
    <t>125601264</t>
  </si>
  <si>
    <t>00033658</t>
  </si>
  <si>
    <t>125601882</t>
  </si>
  <si>
    <t>00033667</t>
  </si>
  <si>
    <t>125601884</t>
  </si>
  <si>
    <t>00033668</t>
  </si>
  <si>
    <t>125602402</t>
  </si>
  <si>
    <t>00033669</t>
  </si>
  <si>
    <t>125602403</t>
  </si>
  <si>
    <t>00033670</t>
  </si>
  <si>
    <t>125604533</t>
  </si>
  <si>
    <t>00033692</t>
  </si>
  <si>
    <t>125604534</t>
  </si>
  <si>
    <t>00033693</t>
  </si>
  <si>
    <t>125610198</t>
  </si>
  <si>
    <t>00033743</t>
  </si>
  <si>
    <t>125610199</t>
  </si>
  <si>
    <t>00033744</t>
  </si>
  <si>
    <t>125610203</t>
  </si>
  <si>
    <t>00033745</t>
  </si>
  <si>
    <t>0CV19010</t>
  </si>
  <si>
    <t>00033555</t>
  </si>
  <si>
    <t>811022715-4</t>
  </si>
  <si>
    <t>PRONALCE S.A.</t>
  </si>
  <si>
    <t>CR 52 N 59-31</t>
  </si>
  <si>
    <t>3723409</t>
  </si>
  <si>
    <t>3720874</t>
  </si>
  <si>
    <t>0CV19275</t>
  </si>
  <si>
    <t>00033674</t>
  </si>
  <si>
    <t>FCA262290</t>
  </si>
  <si>
    <t>00033631</t>
  </si>
  <si>
    <t>811042361-6</t>
  </si>
  <si>
    <t>PROVECOL ANTIOQUIA S.A.S</t>
  </si>
  <si>
    <t>CRA 50A  43 13 L 101</t>
  </si>
  <si>
    <t>360ITAGUI</t>
  </si>
  <si>
    <t>2815090</t>
  </si>
  <si>
    <t>3772277</t>
  </si>
  <si>
    <t>FCA263413</t>
  </si>
  <si>
    <t>00033646</t>
  </si>
  <si>
    <t>FCA263804</t>
  </si>
  <si>
    <t>00033645</t>
  </si>
  <si>
    <t>FCA264602</t>
  </si>
  <si>
    <t>00033688</t>
  </si>
  <si>
    <t>FCA264603</t>
  </si>
  <si>
    <t>00033689</t>
  </si>
  <si>
    <t>FCA268206</t>
  </si>
  <si>
    <t>00033740</t>
  </si>
  <si>
    <t>FCA268207</t>
  </si>
  <si>
    <t>00033741</t>
  </si>
  <si>
    <t>00000534</t>
  </si>
  <si>
    <t>DSE00018045</t>
  </si>
  <si>
    <t>98652853</t>
  </si>
  <si>
    <t>RICARDO HERNANDEZ  JORGE DE JESUS</t>
  </si>
  <si>
    <t>CR 20 N 15 52</t>
  </si>
  <si>
    <t>3128731460</t>
  </si>
  <si>
    <t>DSE00018048</t>
  </si>
  <si>
    <t>39288308</t>
  </si>
  <si>
    <t>RODRIGUEZ SANTOS JULIETH PATRICIA</t>
  </si>
  <si>
    <t>CLL 22 N 8 71</t>
  </si>
  <si>
    <t>3135780204</t>
  </si>
  <si>
    <t>POL14388691</t>
  </si>
  <si>
    <t>00011121</t>
  </si>
  <si>
    <t>860002180-7</t>
  </si>
  <si>
    <t>SEGUROS COMERCIALES BOLIVAR</t>
  </si>
  <si>
    <t>CR 50 37 13 9 OFI304</t>
  </si>
  <si>
    <t>3206834477</t>
  </si>
  <si>
    <t>4pos2793</t>
  </si>
  <si>
    <t>00011163</t>
  </si>
  <si>
    <t>1017256814-0</t>
  </si>
  <si>
    <t>SERGIO LUIS PERTUZ REYES</t>
  </si>
  <si>
    <t>CALLE 24 Nro 4-05</t>
  </si>
  <si>
    <t>FECT39539A</t>
  </si>
  <si>
    <t>00033679</t>
  </si>
  <si>
    <t>811022981-7</t>
  </si>
  <si>
    <t>SOBERANA S.A.</t>
  </si>
  <si>
    <t>CLL 77C N 46-104 B12</t>
  </si>
  <si>
    <t>3618454</t>
  </si>
  <si>
    <t>2853344</t>
  </si>
  <si>
    <t>2853918 luis carlos aristizaba</t>
  </si>
  <si>
    <t>FECT39576</t>
  </si>
  <si>
    <t>00033685</t>
  </si>
  <si>
    <t>ANULAR80</t>
  </si>
  <si>
    <t>DSE00012556</t>
  </si>
  <si>
    <t>900632629-9</t>
  </si>
  <si>
    <t>SOFTBUSINESS S.A.S.</t>
  </si>
  <si>
    <t>CALLE 24 N 8 77</t>
  </si>
  <si>
    <t>3113103277</t>
  </si>
  <si>
    <t>COMPRASSOFTBUSINESS@GMAIL.COM</t>
  </si>
  <si>
    <t>00FE7418</t>
  </si>
  <si>
    <t>00012317</t>
  </si>
  <si>
    <t>901644172</t>
  </si>
  <si>
    <t>SOLUCIONES K&amp;V S.A.S</t>
  </si>
  <si>
    <t>CL 30 N 22 62</t>
  </si>
  <si>
    <t>3217516002</t>
  </si>
  <si>
    <t>00FE7443</t>
  </si>
  <si>
    <t>00012338</t>
  </si>
  <si>
    <t>00FE7444</t>
  </si>
  <si>
    <t>00012339</t>
  </si>
  <si>
    <t>00FE7448</t>
  </si>
  <si>
    <t>00012371</t>
  </si>
  <si>
    <t>00FE7455</t>
  </si>
  <si>
    <t>00012430</t>
  </si>
  <si>
    <t>00FE7461</t>
  </si>
  <si>
    <t>00012377</t>
  </si>
  <si>
    <t>00FE7462</t>
  </si>
  <si>
    <t>00012376</t>
  </si>
  <si>
    <t>00FE7468</t>
  </si>
  <si>
    <t>00012375</t>
  </si>
  <si>
    <t>00FE7469</t>
  </si>
  <si>
    <t>00012374</t>
  </si>
  <si>
    <t>00FE7476</t>
  </si>
  <si>
    <t>00012379</t>
  </si>
  <si>
    <t>00FE7477</t>
  </si>
  <si>
    <t>00012380</t>
  </si>
  <si>
    <t>00FE7482</t>
  </si>
  <si>
    <t>00012381</t>
  </si>
  <si>
    <t>00FE7483</t>
  </si>
  <si>
    <t>00012382</t>
  </si>
  <si>
    <t>00FE7485</t>
  </si>
  <si>
    <t>00012433</t>
  </si>
  <si>
    <t>00FE7507</t>
  </si>
  <si>
    <t>00012432</t>
  </si>
  <si>
    <t>00FE7508</t>
  </si>
  <si>
    <t>00012431</t>
  </si>
  <si>
    <t>00FE7530</t>
  </si>
  <si>
    <t>00012496</t>
  </si>
  <si>
    <t>00FE7531</t>
  </si>
  <si>
    <t>00012500</t>
  </si>
  <si>
    <t>00FE7541</t>
  </si>
  <si>
    <t>00012503</t>
  </si>
  <si>
    <t>00FE7542</t>
  </si>
  <si>
    <t>00012504</t>
  </si>
  <si>
    <t>00FE7544</t>
  </si>
  <si>
    <t>00012505</t>
  </si>
  <si>
    <t>00FE7545</t>
  </si>
  <si>
    <t>00012509</t>
  </si>
  <si>
    <t>00FE7555</t>
  </si>
  <si>
    <t>00012511</t>
  </si>
  <si>
    <t>00FE7556</t>
  </si>
  <si>
    <t>00012513</t>
  </si>
  <si>
    <t>00FE7557</t>
  </si>
  <si>
    <t>00012514</t>
  </si>
  <si>
    <t>00FE7558</t>
  </si>
  <si>
    <t>00012515</t>
  </si>
  <si>
    <t>00FE7560</t>
  </si>
  <si>
    <t>00012518</t>
  </si>
  <si>
    <t>00FE7588</t>
  </si>
  <si>
    <t>00012566</t>
  </si>
  <si>
    <t>00FE7594</t>
  </si>
  <si>
    <t>00012567</t>
  </si>
  <si>
    <t>00FE7595</t>
  </si>
  <si>
    <t>00012568</t>
  </si>
  <si>
    <t>00FE7604</t>
  </si>
  <si>
    <t>00012598</t>
  </si>
  <si>
    <t>00FE7605</t>
  </si>
  <si>
    <t>00012599</t>
  </si>
  <si>
    <t>000FE963</t>
  </si>
  <si>
    <t>00011449</t>
  </si>
  <si>
    <t>901806342-2</t>
  </si>
  <si>
    <t>SOLUCIONES MOVILES TEC</t>
  </si>
  <si>
    <t>CL 10 19 ESQ LC 1</t>
  </si>
  <si>
    <t>321817835</t>
  </si>
  <si>
    <t>solucionesmovileszsas@gmail.co</t>
  </si>
  <si>
    <t>00SL2391</t>
  </si>
  <si>
    <t>00012428</t>
  </si>
  <si>
    <t>901806054-6</t>
  </si>
  <si>
    <t>TECNICENTRO SUS LLANTAS CAUCASIA S.A.S</t>
  </si>
  <si>
    <t>CR 20 NO 4 15</t>
  </si>
  <si>
    <t>3128956128</t>
  </si>
  <si>
    <t>leoespitia0995@gmail.com</t>
  </si>
  <si>
    <t>000FE477</t>
  </si>
  <si>
    <t>00005368</t>
  </si>
  <si>
    <t>901374593-9</t>
  </si>
  <si>
    <t>TECNOLOGIAS MOVILES APP.NET S.A.S</t>
  </si>
  <si>
    <t>CR 71 A 20 A 59</t>
  </si>
  <si>
    <t>3113670072</t>
  </si>
  <si>
    <t>00189019</t>
  </si>
  <si>
    <t>00033600</t>
  </si>
  <si>
    <t>811003604-4</t>
  </si>
  <si>
    <t>TRILLADORA LA MONTAÑA S.A.S.</t>
  </si>
  <si>
    <t>C. Abastos BL 12 LOC 23</t>
  </si>
  <si>
    <t>361 21</t>
  </si>
  <si>
    <t>285 5908</t>
  </si>
  <si>
    <t xml:space="preserve"> facturacion@lamontanacol.com</t>
  </si>
  <si>
    <t>HHMO649277</t>
  </si>
  <si>
    <t>00033725</t>
  </si>
  <si>
    <t>811025446-1</t>
  </si>
  <si>
    <t>TRONEX BATTERY COMPANY S.A.</t>
  </si>
  <si>
    <t>CR 67 1 SUR 92</t>
  </si>
  <si>
    <t>3622211</t>
  </si>
  <si>
    <t>448-8090</t>
  </si>
  <si>
    <t>tronex@elsitio.net.co</t>
  </si>
  <si>
    <t>00000005</t>
  </si>
  <si>
    <t>00012611</t>
  </si>
  <si>
    <t>3</t>
  </si>
  <si>
    <t>VARIOS</t>
  </si>
  <si>
    <t>CALLE 27 Nº 1-07</t>
  </si>
  <si>
    <t>8393001</t>
  </si>
  <si>
    <t>EV123268</t>
  </si>
  <si>
    <t>00033626</t>
  </si>
  <si>
    <t>900587259-4</t>
  </si>
  <si>
    <t>VELAS Y VELONES SAN JORGE S.A.S</t>
  </si>
  <si>
    <t>CRA 12 N 13-47</t>
  </si>
  <si>
    <t>8670118</t>
  </si>
  <si>
    <t>contactenos@velassanjorge.com</t>
  </si>
  <si>
    <t>EV123269</t>
  </si>
  <si>
    <t>00033627</t>
  </si>
  <si>
    <t>0FE11260</t>
  </si>
  <si>
    <t>00033686</t>
  </si>
  <si>
    <t>91521121-1</t>
  </si>
  <si>
    <t>WILLIAM DAVID ZULUAGA ZULUAGA</t>
  </si>
  <si>
    <t>KR 5 CL 23 Y 24</t>
  </si>
  <si>
    <t>3017228316</t>
  </si>
  <si>
    <t>william-zuluaga@hotmail.com</t>
  </si>
  <si>
    <t>0FE12027</t>
  </si>
  <si>
    <t>00033709</t>
  </si>
  <si>
    <t>0FE12367</t>
  </si>
  <si>
    <t>00033738</t>
  </si>
  <si>
    <t>totalvalor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</si>
</sst>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2"/>
  <sheetViews>
    <sheetView tabSelected="1" workbookViewId="0">
      <selection activeCell="J4" sqref="J4"/>
    </sheetView>
  </sheetViews>
  <sheetFormatPr baseColWidth="10" defaultRowHeight="12.75" x14ac:dyDescent="0.2"/>
  <cols>
    <col min="1" max="1" width="13" bestFit="1" customWidth="1"/>
    <col min="2" max="2" width="12.85546875" bestFit="1" customWidth="1"/>
    <col min="3" max="3" width="7" bestFit="1" customWidth="1"/>
    <col min="4" max="4" width="7.42578125" bestFit="1" customWidth="1"/>
    <col min="5" max="5" width="12.5703125" bestFit="1" customWidth="1"/>
    <col min="6" max="6" width="5" bestFit="1" customWidth="1"/>
    <col min="7" max="8" width="15.28515625" bestFit="1" customWidth="1"/>
    <col min="9" max="9" width="10" bestFit="1" customWidth="1"/>
    <col min="10" max="10" width="12.85546875" bestFit="1" customWidth="1"/>
    <col min="11" max="11" width="7" bestFit="1" customWidth="1"/>
    <col min="12" max="12" width="7.5703125" bestFit="1" customWidth="1"/>
    <col min="13" max="13" width="5.5703125" bestFit="1" customWidth="1"/>
    <col min="14" max="14" width="11.140625" bestFit="1" customWidth="1"/>
    <col min="15" max="15" width="11.140625" customWidth="1"/>
    <col min="16" max="16" width="13.5703125" bestFit="1" customWidth="1"/>
    <col min="17" max="17" width="45.85546875" bestFit="1" customWidth="1"/>
    <col min="18" max="18" width="36.85546875" bestFit="1" customWidth="1"/>
    <col min="19" max="19" width="18.28515625" bestFit="1" customWidth="1"/>
    <col min="20" max="20" width="8" bestFit="1" customWidth="1"/>
    <col min="21" max="21" width="12.7109375" bestFit="1" customWidth="1"/>
    <col min="22" max="22" width="37.85546875" bestFit="1" customWidth="1"/>
    <col min="23" max="23" width="12" bestFit="1" customWidth="1"/>
    <col min="24" max="24" width="15.285156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800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 t="s">
        <v>23</v>
      </c>
      <c r="B2" t="s">
        <v>24</v>
      </c>
      <c r="C2" t="s">
        <v>25</v>
      </c>
      <c r="D2">
        <v>0</v>
      </c>
      <c r="E2" t="s">
        <v>26</v>
      </c>
      <c r="F2" t="s">
        <v>27</v>
      </c>
      <c r="G2" s="1">
        <v>46071</v>
      </c>
      <c r="H2" s="1">
        <v>46101</v>
      </c>
      <c r="I2">
        <v>0</v>
      </c>
      <c r="J2">
        <v>3550355</v>
      </c>
      <c r="K2">
        <v>0</v>
      </c>
      <c r="L2">
        <v>0</v>
      </c>
      <c r="M2">
        <v>0</v>
      </c>
      <c r="N2">
        <v>1</v>
      </c>
      <c r="O2">
        <f>+J2+I2-K2+L2</f>
        <v>3550355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32</v>
      </c>
      <c r="W2">
        <v>0</v>
      </c>
      <c r="X2" s="1">
        <v>46071.484507025685</v>
      </c>
    </row>
    <row r="3" spans="1:24" x14ac:dyDescent="0.2">
      <c r="A3" t="s">
        <v>34</v>
      </c>
      <c r="B3" t="s">
        <v>35</v>
      </c>
      <c r="C3" t="s">
        <v>25</v>
      </c>
      <c r="D3">
        <v>0</v>
      </c>
      <c r="E3" t="s">
        <v>36</v>
      </c>
      <c r="F3" t="s">
        <v>27</v>
      </c>
      <c r="G3" s="1">
        <v>46076</v>
      </c>
      <c r="H3" s="1">
        <v>46106</v>
      </c>
      <c r="I3">
        <v>0</v>
      </c>
      <c r="J3">
        <v>1162481</v>
      </c>
      <c r="K3">
        <v>0</v>
      </c>
      <c r="L3">
        <v>0</v>
      </c>
      <c r="M3">
        <v>0</v>
      </c>
      <c r="N3">
        <v>1</v>
      </c>
      <c r="O3">
        <f>+J3+I3-K3+L3</f>
        <v>1162481</v>
      </c>
      <c r="P3" t="s">
        <v>28</v>
      </c>
      <c r="Q3" t="s">
        <v>37</v>
      </c>
      <c r="R3" t="s">
        <v>38</v>
      </c>
      <c r="S3" t="s">
        <v>39</v>
      </c>
      <c r="T3" t="s">
        <v>32</v>
      </c>
      <c r="U3" t="s">
        <v>40</v>
      </c>
      <c r="V3" t="s">
        <v>32</v>
      </c>
      <c r="W3">
        <v>30</v>
      </c>
      <c r="X3" s="1">
        <v>46076.704821909778</v>
      </c>
    </row>
    <row r="4" spans="1:24" x14ac:dyDescent="0.2">
      <c r="A4" t="s">
        <v>41</v>
      </c>
      <c r="B4" t="s">
        <v>42</v>
      </c>
      <c r="C4" t="s">
        <v>25</v>
      </c>
      <c r="D4">
        <v>0</v>
      </c>
      <c r="E4" t="s">
        <v>36</v>
      </c>
      <c r="F4" t="s">
        <v>27</v>
      </c>
      <c r="G4" s="1">
        <v>46076</v>
      </c>
      <c r="H4" s="1">
        <v>46106</v>
      </c>
      <c r="I4">
        <v>0</v>
      </c>
      <c r="J4">
        <v>7966071</v>
      </c>
      <c r="K4">
        <v>0</v>
      </c>
      <c r="L4">
        <v>0</v>
      </c>
      <c r="M4">
        <v>0</v>
      </c>
      <c r="N4">
        <v>1</v>
      </c>
      <c r="O4">
        <f t="shared" ref="O4:O67" si="0">+J4+I4-K4+L4</f>
        <v>7966071</v>
      </c>
      <c r="P4" t="s">
        <v>28</v>
      </c>
      <c r="Q4" t="s">
        <v>37</v>
      </c>
      <c r="R4" t="s">
        <v>38</v>
      </c>
      <c r="S4" t="s">
        <v>39</v>
      </c>
      <c r="T4" t="s">
        <v>32</v>
      </c>
      <c r="U4" t="s">
        <v>40</v>
      </c>
      <c r="V4" t="s">
        <v>32</v>
      </c>
      <c r="W4">
        <v>30</v>
      </c>
      <c r="X4" s="1">
        <v>46076.705430787057</v>
      </c>
    </row>
    <row r="5" spans="1:24" x14ac:dyDescent="0.2">
      <c r="A5" t="s">
        <v>43</v>
      </c>
      <c r="B5" t="s">
        <v>44</v>
      </c>
      <c r="C5" t="s">
        <v>25</v>
      </c>
      <c r="D5">
        <v>0</v>
      </c>
      <c r="E5" t="s">
        <v>36</v>
      </c>
      <c r="F5" t="s">
        <v>27</v>
      </c>
      <c r="G5" s="1">
        <v>46098</v>
      </c>
      <c r="H5" s="1">
        <v>46128</v>
      </c>
      <c r="I5">
        <v>17322576</v>
      </c>
      <c r="J5">
        <v>0</v>
      </c>
      <c r="K5">
        <v>0</v>
      </c>
      <c r="L5">
        <v>0</v>
      </c>
      <c r="M5">
        <v>0</v>
      </c>
      <c r="N5">
        <v>0</v>
      </c>
      <c r="O5">
        <f t="shared" si="0"/>
        <v>17322576</v>
      </c>
      <c r="P5" t="s">
        <v>28</v>
      </c>
      <c r="Q5" t="s">
        <v>37</v>
      </c>
      <c r="R5" t="s">
        <v>38</v>
      </c>
      <c r="S5" t="s">
        <v>39</v>
      </c>
      <c r="T5" t="s">
        <v>32</v>
      </c>
      <c r="U5" t="s">
        <v>40</v>
      </c>
      <c r="V5" t="s">
        <v>32</v>
      </c>
      <c r="W5">
        <v>30</v>
      </c>
      <c r="X5" s="1">
        <v>46098.339409710839</v>
      </c>
    </row>
    <row r="6" spans="1:24" x14ac:dyDescent="0.2">
      <c r="A6" t="s">
        <v>45</v>
      </c>
      <c r="B6" t="s">
        <v>46</v>
      </c>
      <c r="C6" t="s">
        <v>25</v>
      </c>
      <c r="D6">
        <v>0</v>
      </c>
      <c r="E6" t="s">
        <v>36</v>
      </c>
      <c r="F6" t="s">
        <v>27</v>
      </c>
      <c r="G6" s="1">
        <v>46098</v>
      </c>
      <c r="H6" s="1">
        <v>46128</v>
      </c>
      <c r="I6">
        <v>2934157</v>
      </c>
      <c r="J6">
        <v>0</v>
      </c>
      <c r="K6">
        <v>0</v>
      </c>
      <c r="L6">
        <v>0</v>
      </c>
      <c r="M6">
        <v>0</v>
      </c>
      <c r="N6">
        <v>0</v>
      </c>
      <c r="O6">
        <f t="shared" si="0"/>
        <v>2934157</v>
      </c>
      <c r="P6" t="s">
        <v>28</v>
      </c>
      <c r="Q6" t="s">
        <v>37</v>
      </c>
      <c r="R6" t="s">
        <v>38</v>
      </c>
      <c r="S6" t="s">
        <v>39</v>
      </c>
      <c r="T6" t="s">
        <v>32</v>
      </c>
      <c r="U6" t="s">
        <v>40</v>
      </c>
      <c r="V6" t="s">
        <v>32</v>
      </c>
      <c r="W6">
        <v>30</v>
      </c>
      <c r="X6" s="1">
        <v>46098.342395821586</v>
      </c>
    </row>
    <row r="7" spans="1:24" x14ac:dyDescent="0.2">
      <c r="A7" t="s">
        <v>47</v>
      </c>
      <c r="B7" t="s">
        <v>48</v>
      </c>
      <c r="C7" t="s">
        <v>25</v>
      </c>
      <c r="D7">
        <v>0</v>
      </c>
      <c r="E7" t="s">
        <v>49</v>
      </c>
      <c r="F7" t="s">
        <v>27</v>
      </c>
      <c r="G7" s="1">
        <v>46093</v>
      </c>
      <c r="H7" s="1">
        <v>46093</v>
      </c>
      <c r="I7">
        <v>145000</v>
      </c>
      <c r="J7">
        <v>0</v>
      </c>
      <c r="K7">
        <v>225000</v>
      </c>
      <c r="L7">
        <v>0</v>
      </c>
      <c r="M7">
        <v>1</v>
      </c>
      <c r="N7">
        <v>0</v>
      </c>
      <c r="O7">
        <f t="shared" si="0"/>
        <v>-80000</v>
      </c>
      <c r="P7" t="s">
        <v>28</v>
      </c>
      <c r="Q7" t="s">
        <v>50</v>
      </c>
      <c r="R7" t="s">
        <v>51</v>
      </c>
      <c r="S7" t="s">
        <v>32</v>
      </c>
      <c r="T7" t="s">
        <v>32</v>
      </c>
      <c r="U7" t="s">
        <v>52</v>
      </c>
      <c r="V7" t="s">
        <v>32</v>
      </c>
      <c r="W7">
        <v>0</v>
      </c>
      <c r="X7" s="1">
        <v>46097.690833333414</v>
      </c>
    </row>
    <row r="8" spans="1:24" x14ac:dyDescent="0.2">
      <c r="A8" t="s">
        <v>53</v>
      </c>
      <c r="B8" t="s">
        <v>54</v>
      </c>
      <c r="C8" t="s">
        <v>25</v>
      </c>
      <c r="D8">
        <v>0</v>
      </c>
      <c r="E8" t="s">
        <v>55</v>
      </c>
      <c r="F8" t="s">
        <v>27</v>
      </c>
      <c r="G8" s="1">
        <v>46049</v>
      </c>
      <c r="H8" s="1">
        <v>46079</v>
      </c>
      <c r="I8">
        <v>0</v>
      </c>
      <c r="J8">
        <v>80402250</v>
      </c>
      <c r="K8">
        <v>0</v>
      </c>
      <c r="L8">
        <v>0</v>
      </c>
      <c r="M8">
        <v>0</v>
      </c>
      <c r="N8">
        <v>1</v>
      </c>
      <c r="O8">
        <f t="shared" si="0"/>
        <v>80402250</v>
      </c>
      <c r="P8" t="s">
        <v>28</v>
      </c>
      <c r="Q8" t="s">
        <v>56</v>
      </c>
      <c r="R8" t="s">
        <v>57</v>
      </c>
      <c r="S8" t="s">
        <v>58</v>
      </c>
      <c r="T8" t="s">
        <v>59</v>
      </c>
      <c r="U8" t="s">
        <v>60</v>
      </c>
      <c r="V8" t="s">
        <v>61</v>
      </c>
      <c r="W8">
        <v>30</v>
      </c>
      <c r="X8" s="1">
        <v>46049.618778159842</v>
      </c>
    </row>
    <row r="9" spans="1:24" x14ac:dyDescent="0.2">
      <c r="A9" t="s">
        <v>62</v>
      </c>
      <c r="B9" t="s">
        <v>63</v>
      </c>
      <c r="C9" t="s">
        <v>25</v>
      </c>
      <c r="D9">
        <v>0</v>
      </c>
      <c r="E9" t="s">
        <v>55</v>
      </c>
      <c r="F9" t="s">
        <v>27</v>
      </c>
      <c r="G9" s="1">
        <v>46063</v>
      </c>
      <c r="H9" s="1">
        <v>46093</v>
      </c>
      <c r="I9">
        <v>0</v>
      </c>
      <c r="J9">
        <v>82258750</v>
      </c>
      <c r="K9">
        <v>0</v>
      </c>
      <c r="L9">
        <v>0</v>
      </c>
      <c r="M9">
        <v>0</v>
      </c>
      <c r="N9">
        <v>1</v>
      </c>
      <c r="O9">
        <f t="shared" si="0"/>
        <v>82258750</v>
      </c>
      <c r="P9" t="s">
        <v>28</v>
      </c>
      <c r="Q9" t="s">
        <v>56</v>
      </c>
      <c r="R9" t="s">
        <v>57</v>
      </c>
      <c r="S9" t="s">
        <v>58</v>
      </c>
      <c r="T9" t="s">
        <v>59</v>
      </c>
      <c r="U9" t="s">
        <v>60</v>
      </c>
      <c r="V9" t="s">
        <v>61</v>
      </c>
      <c r="W9">
        <v>30</v>
      </c>
      <c r="X9" s="1">
        <v>46063.391599757131</v>
      </c>
    </row>
    <row r="10" spans="1:24" x14ac:dyDescent="0.2">
      <c r="A10" t="s">
        <v>64</v>
      </c>
      <c r="B10" t="s">
        <v>65</v>
      </c>
      <c r="C10" t="s">
        <v>25</v>
      </c>
      <c r="D10">
        <v>0</v>
      </c>
      <c r="E10" t="s">
        <v>55</v>
      </c>
      <c r="F10" t="s">
        <v>27</v>
      </c>
      <c r="G10" s="1">
        <v>46077</v>
      </c>
      <c r="H10" s="1">
        <v>46107</v>
      </c>
      <c r="I10">
        <v>0</v>
      </c>
      <c r="J10">
        <v>82258750</v>
      </c>
      <c r="K10">
        <v>0</v>
      </c>
      <c r="L10">
        <v>0</v>
      </c>
      <c r="M10">
        <v>0</v>
      </c>
      <c r="N10">
        <v>1</v>
      </c>
      <c r="O10">
        <f t="shared" si="0"/>
        <v>82258750</v>
      </c>
      <c r="P10" t="s">
        <v>28</v>
      </c>
      <c r="Q10" t="s">
        <v>56</v>
      </c>
      <c r="R10" t="s">
        <v>57</v>
      </c>
      <c r="S10" t="s">
        <v>58</v>
      </c>
      <c r="T10" t="s">
        <v>59</v>
      </c>
      <c r="U10" t="s">
        <v>60</v>
      </c>
      <c r="V10" t="s">
        <v>61</v>
      </c>
      <c r="W10">
        <v>30</v>
      </c>
      <c r="X10" s="1">
        <v>46077.744670833461</v>
      </c>
    </row>
    <row r="11" spans="1:24" x14ac:dyDescent="0.2">
      <c r="A11" t="s">
        <v>66</v>
      </c>
      <c r="B11" t="s">
        <v>67</v>
      </c>
      <c r="C11" t="s">
        <v>25</v>
      </c>
      <c r="D11">
        <v>0</v>
      </c>
      <c r="E11" t="s">
        <v>55</v>
      </c>
      <c r="F11" t="s">
        <v>27</v>
      </c>
      <c r="G11" s="1">
        <v>46077</v>
      </c>
      <c r="H11" s="1">
        <v>46104</v>
      </c>
      <c r="I11">
        <v>0</v>
      </c>
      <c r="J11">
        <v>84609000</v>
      </c>
      <c r="K11">
        <v>0</v>
      </c>
      <c r="L11">
        <v>0</v>
      </c>
      <c r="M11">
        <v>0</v>
      </c>
      <c r="N11">
        <v>1</v>
      </c>
      <c r="O11">
        <f t="shared" si="0"/>
        <v>84609000</v>
      </c>
      <c r="P11" t="s">
        <v>28</v>
      </c>
      <c r="Q11" t="s">
        <v>56</v>
      </c>
      <c r="R11" t="s">
        <v>57</v>
      </c>
      <c r="S11" t="s">
        <v>58</v>
      </c>
      <c r="T11" t="s">
        <v>59</v>
      </c>
      <c r="U11" t="s">
        <v>60</v>
      </c>
      <c r="V11" t="s">
        <v>61</v>
      </c>
      <c r="W11">
        <v>30</v>
      </c>
      <c r="X11" s="1">
        <v>46077.450800416525</v>
      </c>
    </row>
    <row r="12" spans="1:24" x14ac:dyDescent="0.2">
      <c r="A12" t="s">
        <v>68</v>
      </c>
      <c r="B12" t="s">
        <v>69</v>
      </c>
      <c r="C12" t="s">
        <v>25</v>
      </c>
      <c r="D12">
        <v>0</v>
      </c>
      <c r="E12" t="s">
        <v>55</v>
      </c>
      <c r="F12" t="s">
        <v>27</v>
      </c>
      <c r="G12" s="1">
        <v>46101</v>
      </c>
      <c r="H12" s="1">
        <v>46131</v>
      </c>
      <c r="I12">
        <v>82455000</v>
      </c>
      <c r="J12">
        <v>0</v>
      </c>
      <c r="K12">
        <v>0</v>
      </c>
      <c r="L12">
        <v>0</v>
      </c>
      <c r="M12">
        <v>0</v>
      </c>
      <c r="N12">
        <v>0</v>
      </c>
      <c r="O12">
        <f t="shared" si="0"/>
        <v>82455000</v>
      </c>
      <c r="P12" t="s">
        <v>28</v>
      </c>
      <c r="Q12" t="s">
        <v>56</v>
      </c>
      <c r="R12" t="s">
        <v>57</v>
      </c>
      <c r="S12" t="s">
        <v>58</v>
      </c>
      <c r="T12" t="s">
        <v>59</v>
      </c>
      <c r="U12" t="s">
        <v>60</v>
      </c>
      <c r="V12" t="s">
        <v>61</v>
      </c>
      <c r="W12">
        <v>30</v>
      </c>
      <c r="X12" s="1">
        <v>46101.474768506829</v>
      </c>
    </row>
    <row r="13" spans="1:24" x14ac:dyDescent="0.2">
      <c r="A13" t="s">
        <v>70</v>
      </c>
      <c r="B13" t="s">
        <v>71</v>
      </c>
      <c r="C13" t="s">
        <v>25</v>
      </c>
      <c r="D13">
        <v>0</v>
      </c>
      <c r="E13" t="s">
        <v>72</v>
      </c>
      <c r="F13" t="s">
        <v>27</v>
      </c>
      <c r="G13" s="1">
        <v>45842</v>
      </c>
      <c r="H13" s="1">
        <v>45842</v>
      </c>
      <c r="I13">
        <v>0</v>
      </c>
      <c r="J13">
        <v>60000</v>
      </c>
      <c r="K13">
        <v>0</v>
      </c>
      <c r="L13">
        <v>0</v>
      </c>
      <c r="M13">
        <v>1</v>
      </c>
      <c r="N13">
        <v>1</v>
      </c>
      <c r="O13">
        <f t="shared" si="0"/>
        <v>60000</v>
      </c>
      <c r="P13" t="s">
        <v>28</v>
      </c>
      <c r="Q13" t="s">
        <v>73</v>
      </c>
      <c r="R13" t="s">
        <v>74</v>
      </c>
      <c r="S13" t="s">
        <v>32</v>
      </c>
      <c r="T13" t="s">
        <v>32</v>
      </c>
      <c r="U13" t="s">
        <v>75</v>
      </c>
      <c r="V13" t="s">
        <v>32</v>
      </c>
      <c r="W13">
        <v>0</v>
      </c>
      <c r="X13" s="1">
        <v>45843.52152594924</v>
      </c>
    </row>
    <row r="14" spans="1:24" x14ac:dyDescent="0.2">
      <c r="A14" t="s">
        <v>76</v>
      </c>
      <c r="B14" t="s">
        <v>76</v>
      </c>
      <c r="C14" t="s">
        <v>25</v>
      </c>
      <c r="D14">
        <v>0</v>
      </c>
      <c r="E14" t="s">
        <v>72</v>
      </c>
      <c r="F14" t="s">
        <v>27</v>
      </c>
      <c r="G14" s="1">
        <v>45888.303465960547</v>
      </c>
      <c r="H14" s="1">
        <v>45888.303465960547</v>
      </c>
      <c r="I14">
        <v>0</v>
      </c>
      <c r="J14">
        <v>-60000</v>
      </c>
      <c r="K14">
        <v>0</v>
      </c>
      <c r="L14">
        <v>0</v>
      </c>
      <c r="M14">
        <v>0</v>
      </c>
      <c r="N14">
        <v>1</v>
      </c>
      <c r="O14">
        <f t="shared" si="0"/>
        <v>-60000</v>
      </c>
      <c r="P14" t="s">
        <v>32</v>
      </c>
      <c r="Q14" t="s">
        <v>73</v>
      </c>
      <c r="R14" t="s">
        <v>74</v>
      </c>
      <c r="S14" t="s">
        <v>32</v>
      </c>
      <c r="T14" t="s">
        <v>32</v>
      </c>
      <c r="U14" t="s">
        <v>75</v>
      </c>
      <c r="V14" t="s">
        <v>32</v>
      </c>
      <c r="W14">
        <v>0</v>
      </c>
      <c r="X14" s="1">
        <v>2</v>
      </c>
    </row>
    <row r="15" spans="1:24" x14ac:dyDescent="0.2">
      <c r="A15" t="s">
        <v>77</v>
      </c>
      <c r="B15" t="s">
        <v>78</v>
      </c>
      <c r="C15" t="s">
        <v>25</v>
      </c>
      <c r="D15">
        <v>0</v>
      </c>
      <c r="E15" t="s">
        <v>79</v>
      </c>
      <c r="F15" t="s">
        <v>27</v>
      </c>
      <c r="G15" s="1">
        <v>46073</v>
      </c>
      <c r="H15" s="1">
        <v>46103</v>
      </c>
      <c r="I15">
        <v>0</v>
      </c>
      <c r="J15">
        <v>29591621</v>
      </c>
      <c r="K15">
        <v>0</v>
      </c>
      <c r="L15">
        <v>0</v>
      </c>
      <c r="M15">
        <v>0</v>
      </c>
      <c r="N15">
        <v>1</v>
      </c>
      <c r="O15">
        <f t="shared" si="0"/>
        <v>29591621</v>
      </c>
      <c r="P15" t="s">
        <v>28</v>
      </c>
      <c r="Q15" t="s">
        <v>80</v>
      </c>
      <c r="R15" t="s">
        <v>81</v>
      </c>
      <c r="S15" t="s">
        <v>32</v>
      </c>
      <c r="T15" t="s">
        <v>32</v>
      </c>
      <c r="U15" t="s">
        <v>82</v>
      </c>
      <c r="V15" t="s">
        <v>83</v>
      </c>
      <c r="W15">
        <v>30</v>
      </c>
      <c r="X15" s="1">
        <v>46073.414368622471</v>
      </c>
    </row>
    <row r="16" spans="1:24" x14ac:dyDescent="0.2">
      <c r="A16" t="s">
        <v>84</v>
      </c>
      <c r="B16" t="s">
        <v>85</v>
      </c>
      <c r="C16" t="s">
        <v>25</v>
      </c>
      <c r="D16">
        <v>0</v>
      </c>
      <c r="E16" t="s">
        <v>79</v>
      </c>
      <c r="F16" t="s">
        <v>27</v>
      </c>
      <c r="G16" s="1">
        <v>46098</v>
      </c>
      <c r="H16" s="1">
        <v>46128</v>
      </c>
      <c r="I16">
        <v>6424261</v>
      </c>
      <c r="J16">
        <v>0</v>
      </c>
      <c r="K16">
        <v>0</v>
      </c>
      <c r="L16">
        <v>0</v>
      </c>
      <c r="M16">
        <v>0</v>
      </c>
      <c r="N16">
        <v>0</v>
      </c>
      <c r="O16">
        <f t="shared" si="0"/>
        <v>6424261</v>
      </c>
      <c r="P16" t="s">
        <v>28</v>
      </c>
      <c r="Q16" t="s">
        <v>80</v>
      </c>
      <c r="R16" t="s">
        <v>81</v>
      </c>
      <c r="S16" t="s">
        <v>32</v>
      </c>
      <c r="T16" t="s">
        <v>32</v>
      </c>
      <c r="U16" t="s">
        <v>82</v>
      </c>
      <c r="V16" t="s">
        <v>83</v>
      </c>
      <c r="W16">
        <v>30</v>
      </c>
      <c r="X16" s="1">
        <v>46098.363553240895</v>
      </c>
    </row>
    <row r="17" spans="1:24" x14ac:dyDescent="0.2">
      <c r="A17" t="s">
        <v>86</v>
      </c>
      <c r="B17" t="s">
        <v>87</v>
      </c>
      <c r="C17" t="s">
        <v>25</v>
      </c>
      <c r="D17">
        <v>0</v>
      </c>
      <c r="E17" t="s">
        <v>88</v>
      </c>
      <c r="F17" t="s">
        <v>27</v>
      </c>
      <c r="G17" s="1">
        <v>46069</v>
      </c>
      <c r="H17" s="1">
        <v>46099</v>
      </c>
      <c r="I17">
        <v>0</v>
      </c>
      <c r="J17">
        <v>56738880</v>
      </c>
      <c r="K17">
        <v>0</v>
      </c>
      <c r="L17">
        <v>0</v>
      </c>
      <c r="M17">
        <v>0</v>
      </c>
      <c r="N17">
        <v>1</v>
      </c>
      <c r="O17">
        <f t="shared" si="0"/>
        <v>56738880</v>
      </c>
      <c r="P17" t="s">
        <v>28</v>
      </c>
      <c r="Q17" t="s">
        <v>89</v>
      </c>
      <c r="R17" t="s">
        <v>90</v>
      </c>
      <c r="S17" t="s">
        <v>91</v>
      </c>
      <c r="T17" t="s">
        <v>32</v>
      </c>
      <c r="U17" t="s">
        <v>92</v>
      </c>
      <c r="V17" t="s">
        <v>93</v>
      </c>
      <c r="W17">
        <v>30</v>
      </c>
      <c r="X17" s="1">
        <v>46069.347773252521</v>
      </c>
    </row>
    <row r="18" spans="1:24" x14ac:dyDescent="0.2">
      <c r="A18" t="s">
        <v>94</v>
      </c>
      <c r="B18" t="s">
        <v>95</v>
      </c>
      <c r="C18" t="s">
        <v>25</v>
      </c>
      <c r="D18">
        <v>0</v>
      </c>
      <c r="E18" t="s">
        <v>88</v>
      </c>
      <c r="F18" t="s">
        <v>27</v>
      </c>
      <c r="G18" s="1">
        <v>46072</v>
      </c>
      <c r="H18" s="1">
        <v>46102</v>
      </c>
      <c r="I18">
        <v>0</v>
      </c>
      <c r="J18">
        <v>81757268</v>
      </c>
      <c r="K18">
        <v>0</v>
      </c>
      <c r="L18">
        <v>0</v>
      </c>
      <c r="M18">
        <v>0</v>
      </c>
      <c r="N18">
        <v>1</v>
      </c>
      <c r="O18">
        <f t="shared" si="0"/>
        <v>81757268</v>
      </c>
      <c r="P18" t="s">
        <v>28</v>
      </c>
      <c r="Q18" t="s">
        <v>89</v>
      </c>
      <c r="R18" t="s">
        <v>90</v>
      </c>
      <c r="S18" t="s">
        <v>91</v>
      </c>
      <c r="T18" t="s">
        <v>32</v>
      </c>
      <c r="U18" t="s">
        <v>92</v>
      </c>
      <c r="V18" t="s">
        <v>93</v>
      </c>
      <c r="W18">
        <v>30</v>
      </c>
      <c r="X18" s="1">
        <v>46072.63458247669</v>
      </c>
    </row>
    <row r="19" spans="1:24" x14ac:dyDescent="0.2">
      <c r="A19" t="s">
        <v>96</v>
      </c>
      <c r="B19" t="s">
        <v>97</v>
      </c>
      <c r="C19" t="s">
        <v>25</v>
      </c>
      <c r="D19">
        <v>0</v>
      </c>
      <c r="E19" t="s">
        <v>88</v>
      </c>
      <c r="F19" t="s">
        <v>27</v>
      </c>
      <c r="G19" s="1">
        <v>46077</v>
      </c>
      <c r="H19" s="1">
        <v>46107</v>
      </c>
      <c r="I19">
        <v>0</v>
      </c>
      <c r="J19">
        <v>62666352</v>
      </c>
      <c r="K19">
        <v>0</v>
      </c>
      <c r="L19">
        <v>0</v>
      </c>
      <c r="M19">
        <v>0</v>
      </c>
      <c r="N19">
        <v>1</v>
      </c>
      <c r="O19">
        <f t="shared" si="0"/>
        <v>62666352</v>
      </c>
      <c r="P19" t="s">
        <v>28</v>
      </c>
      <c r="Q19" t="s">
        <v>89</v>
      </c>
      <c r="R19" t="s">
        <v>90</v>
      </c>
      <c r="S19" t="s">
        <v>91</v>
      </c>
      <c r="T19" t="s">
        <v>32</v>
      </c>
      <c r="U19" t="s">
        <v>92</v>
      </c>
      <c r="V19" t="s">
        <v>93</v>
      </c>
      <c r="W19">
        <v>30</v>
      </c>
      <c r="X19" s="1">
        <v>46077.446771134157</v>
      </c>
    </row>
    <row r="20" spans="1:24" x14ac:dyDescent="0.2">
      <c r="A20" t="s">
        <v>98</v>
      </c>
      <c r="B20" t="s">
        <v>99</v>
      </c>
      <c r="C20" t="s">
        <v>25</v>
      </c>
      <c r="D20">
        <v>0</v>
      </c>
      <c r="E20" t="s">
        <v>88</v>
      </c>
      <c r="F20" t="s">
        <v>27</v>
      </c>
      <c r="G20" s="1">
        <v>46091</v>
      </c>
      <c r="H20" s="1">
        <v>46121</v>
      </c>
      <c r="I20">
        <v>26740039</v>
      </c>
      <c r="J20">
        <v>0</v>
      </c>
      <c r="K20">
        <v>273420</v>
      </c>
      <c r="L20">
        <v>0</v>
      </c>
      <c r="M20">
        <v>0</v>
      </c>
      <c r="N20">
        <v>0</v>
      </c>
      <c r="O20">
        <f t="shared" si="0"/>
        <v>26466619</v>
      </c>
      <c r="P20" t="s">
        <v>28</v>
      </c>
      <c r="Q20" t="s">
        <v>89</v>
      </c>
      <c r="R20" t="s">
        <v>90</v>
      </c>
      <c r="S20" t="s">
        <v>91</v>
      </c>
      <c r="T20" t="s">
        <v>32</v>
      </c>
      <c r="U20" t="s">
        <v>92</v>
      </c>
      <c r="V20" t="s">
        <v>93</v>
      </c>
      <c r="W20">
        <v>30</v>
      </c>
      <c r="X20" s="1">
        <v>46091.665530080907</v>
      </c>
    </row>
    <row r="21" spans="1:24" x14ac:dyDescent="0.2">
      <c r="A21" t="s">
        <v>100</v>
      </c>
      <c r="B21" t="s">
        <v>101</v>
      </c>
      <c r="C21" t="s">
        <v>25</v>
      </c>
      <c r="D21">
        <v>0</v>
      </c>
      <c r="E21" t="s">
        <v>88</v>
      </c>
      <c r="F21" t="s">
        <v>27</v>
      </c>
      <c r="G21" s="1">
        <v>46094</v>
      </c>
      <c r="H21" s="1">
        <v>46124</v>
      </c>
      <c r="I21">
        <v>29700462</v>
      </c>
      <c r="J21">
        <v>0</v>
      </c>
      <c r="K21">
        <v>277634</v>
      </c>
      <c r="L21">
        <v>0</v>
      </c>
      <c r="M21">
        <v>0</v>
      </c>
      <c r="N21">
        <v>0</v>
      </c>
      <c r="O21">
        <f t="shared" si="0"/>
        <v>29422828</v>
      </c>
      <c r="P21" t="s">
        <v>28</v>
      </c>
      <c r="Q21" t="s">
        <v>89</v>
      </c>
      <c r="R21" t="s">
        <v>90</v>
      </c>
      <c r="S21" t="s">
        <v>91</v>
      </c>
      <c r="T21" t="s">
        <v>32</v>
      </c>
      <c r="U21" t="s">
        <v>92</v>
      </c>
      <c r="V21" t="s">
        <v>93</v>
      </c>
      <c r="W21">
        <v>30</v>
      </c>
      <c r="X21" s="1">
        <v>46094.415543969721</v>
      </c>
    </row>
    <row r="22" spans="1:24" x14ac:dyDescent="0.2">
      <c r="A22" t="s">
        <v>102</v>
      </c>
      <c r="B22" t="s">
        <v>103</v>
      </c>
      <c r="C22" t="s">
        <v>25</v>
      </c>
      <c r="D22">
        <v>0</v>
      </c>
      <c r="E22" t="s">
        <v>104</v>
      </c>
      <c r="F22" t="s">
        <v>27</v>
      </c>
      <c r="G22" s="1">
        <v>46095</v>
      </c>
      <c r="H22" s="1">
        <v>46095</v>
      </c>
      <c r="I22">
        <v>314000</v>
      </c>
      <c r="J22">
        <v>0</v>
      </c>
      <c r="K22">
        <v>554000</v>
      </c>
      <c r="L22">
        <v>0</v>
      </c>
      <c r="M22">
        <v>1</v>
      </c>
      <c r="N22">
        <v>0</v>
      </c>
      <c r="O22">
        <f t="shared" si="0"/>
        <v>-240000</v>
      </c>
      <c r="P22" t="s">
        <v>28</v>
      </c>
      <c r="Q22" t="s">
        <v>105</v>
      </c>
      <c r="R22" t="s">
        <v>106</v>
      </c>
      <c r="S22" t="s">
        <v>31</v>
      </c>
      <c r="T22" t="s">
        <v>32</v>
      </c>
      <c r="U22" t="s">
        <v>107</v>
      </c>
      <c r="V22" t="s">
        <v>32</v>
      </c>
      <c r="W22">
        <v>0</v>
      </c>
      <c r="X22" s="1">
        <v>46097.361041655298</v>
      </c>
    </row>
    <row r="23" spans="1:24" x14ac:dyDescent="0.2">
      <c r="A23" t="s">
        <v>108</v>
      </c>
      <c r="B23" t="s">
        <v>109</v>
      </c>
      <c r="C23" t="s">
        <v>25</v>
      </c>
      <c r="D23">
        <v>0</v>
      </c>
      <c r="E23" t="s">
        <v>110</v>
      </c>
      <c r="F23" t="s">
        <v>27</v>
      </c>
      <c r="G23" s="1">
        <v>46073</v>
      </c>
      <c r="H23" s="1">
        <v>46103</v>
      </c>
      <c r="I23">
        <v>0</v>
      </c>
      <c r="J23">
        <v>117391723</v>
      </c>
      <c r="K23">
        <v>0</v>
      </c>
      <c r="L23">
        <v>0</v>
      </c>
      <c r="M23">
        <v>0</v>
      </c>
      <c r="N23">
        <v>1</v>
      </c>
      <c r="O23">
        <f t="shared" si="0"/>
        <v>117391723</v>
      </c>
      <c r="P23" t="s">
        <v>28</v>
      </c>
      <c r="Q23" t="s">
        <v>111</v>
      </c>
      <c r="R23" t="s">
        <v>112</v>
      </c>
      <c r="S23" t="s">
        <v>113</v>
      </c>
      <c r="T23" t="s">
        <v>32</v>
      </c>
      <c r="U23" t="s">
        <v>114</v>
      </c>
      <c r="V23" t="s">
        <v>32</v>
      </c>
      <c r="W23">
        <v>30</v>
      </c>
      <c r="X23" s="1">
        <v>46073.669674097095</v>
      </c>
    </row>
    <row r="24" spans="1:24" x14ac:dyDescent="0.2">
      <c r="A24" t="s">
        <v>115</v>
      </c>
      <c r="B24" t="s">
        <v>116</v>
      </c>
      <c r="C24" t="s">
        <v>25</v>
      </c>
      <c r="D24">
        <v>0</v>
      </c>
      <c r="E24" t="s">
        <v>110</v>
      </c>
      <c r="F24" t="s">
        <v>27</v>
      </c>
      <c r="G24" s="1">
        <v>46076</v>
      </c>
      <c r="H24" s="1">
        <v>46106</v>
      </c>
      <c r="I24">
        <v>0</v>
      </c>
      <c r="J24">
        <v>53910037</v>
      </c>
      <c r="K24">
        <v>0</v>
      </c>
      <c r="L24">
        <v>0</v>
      </c>
      <c r="M24">
        <v>0</v>
      </c>
      <c r="N24">
        <v>1</v>
      </c>
      <c r="O24">
        <f t="shared" si="0"/>
        <v>53910037</v>
      </c>
      <c r="P24" t="s">
        <v>28</v>
      </c>
      <c r="Q24" t="s">
        <v>111</v>
      </c>
      <c r="R24" t="s">
        <v>112</v>
      </c>
      <c r="S24" t="s">
        <v>113</v>
      </c>
      <c r="T24" t="s">
        <v>32</v>
      </c>
      <c r="U24" t="s">
        <v>114</v>
      </c>
      <c r="V24" t="s">
        <v>32</v>
      </c>
      <c r="W24">
        <v>30</v>
      </c>
      <c r="X24" s="1">
        <v>46076.677422338165</v>
      </c>
    </row>
    <row r="25" spans="1:24" x14ac:dyDescent="0.2">
      <c r="A25" t="s">
        <v>117</v>
      </c>
      <c r="B25" t="s">
        <v>118</v>
      </c>
      <c r="C25" t="s">
        <v>25</v>
      </c>
      <c r="D25">
        <v>0</v>
      </c>
      <c r="E25" t="s">
        <v>110</v>
      </c>
      <c r="F25" t="s">
        <v>27</v>
      </c>
      <c r="G25" s="1">
        <v>46079</v>
      </c>
      <c r="H25" s="1">
        <v>46109</v>
      </c>
      <c r="I25">
        <v>0</v>
      </c>
      <c r="J25">
        <v>16223988</v>
      </c>
      <c r="K25">
        <v>0</v>
      </c>
      <c r="L25">
        <v>0</v>
      </c>
      <c r="M25">
        <v>0</v>
      </c>
      <c r="N25">
        <v>1</v>
      </c>
      <c r="O25">
        <f t="shared" si="0"/>
        <v>16223988</v>
      </c>
      <c r="P25" t="s">
        <v>28</v>
      </c>
      <c r="Q25" t="s">
        <v>111</v>
      </c>
      <c r="R25" t="s">
        <v>112</v>
      </c>
      <c r="S25" t="s">
        <v>113</v>
      </c>
      <c r="T25" t="s">
        <v>32</v>
      </c>
      <c r="U25" t="s">
        <v>114</v>
      </c>
      <c r="V25" t="s">
        <v>32</v>
      </c>
      <c r="W25">
        <v>30</v>
      </c>
      <c r="X25" s="1">
        <v>46079.516688680742</v>
      </c>
    </row>
    <row r="26" spans="1:24" x14ac:dyDescent="0.2">
      <c r="A26" t="s">
        <v>119</v>
      </c>
      <c r="B26" t="s">
        <v>120</v>
      </c>
      <c r="C26" t="s">
        <v>25</v>
      </c>
      <c r="D26">
        <v>0</v>
      </c>
      <c r="E26" t="s">
        <v>110</v>
      </c>
      <c r="F26" t="s">
        <v>27</v>
      </c>
      <c r="G26" s="1">
        <v>46079</v>
      </c>
      <c r="H26" s="1">
        <v>46109</v>
      </c>
      <c r="I26">
        <v>0</v>
      </c>
      <c r="J26">
        <v>1077994</v>
      </c>
      <c r="K26">
        <v>0</v>
      </c>
      <c r="L26">
        <v>0</v>
      </c>
      <c r="M26">
        <v>0</v>
      </c>
      <c r="N26">
        <v>1</v>
      </c>
      <c r="O26">
        <f t="shared" si="0"/>
        <v>1077994</v>
      </c>
      <c r="P26" t="s">
        <v>28</v>
      </c>
      <c r="Q26" t="s">
        <v>111</v>
      </c>
      <c r="R26" t="s">
        <v>112</v>
      </c>
      <c r="S26" t="s">
        <v>113</v>
      </c>
      <c r="T26" t="s">
        <v>32</v>
      </c>
      <c r="U26" t="s">
        <v>114</v>
      </c>
      <c r="V26" t="s">
        <v>32</v>
      </c>
      <c r="W26">
        <v>30</v>
      </c>
      <c r="X26" s="1">
        <v>46079.517131446861</v>
      </c>
    </row>
    <row r="27" spans="1:24" x14ac:dyDescent="0.2">
      <c r="A27" t="s">
        <v>121</v>
      </c>
      <c r="B27" t="s">
        <v>122</v>
      </c>
      <c r="C27" t="s">
        <v>25</v>
      </c>
      <c r="D27">
        <v>0</v>
      </c>
      <c r="E27" t="s">
        <v>110</v>
      </c>
      <c r="F27" t="s">
        <v>27</v>
      </c>
      <c r="G27" s="1">
        <v>46081</v>
      </c>
      <c r="H27" s="1">
        <v>46111</v>
      </c>
      <c r="I27">
        <v>0</v>
      </c>
      <c r="J27">
        <v>10411320</v>
      </c>
      <c r="K27">
        <v>0</v>
      </c>
      <c r="L27">
        <v>0</v>
      </c>
      <c r="M27">
        <v>0</v>
      </c>
      <c r="N27">
        <v>1</v>
      </c>
      <c r="O27">
        <f t="shared" si="0"/>
        <v>10411320</v>
      </c>
      <c r="P27" t="s">
        <v>28</v>
      </c>
      <c r="Q27" t="s">
        <v>111</v>
      </c>
      <c r="R27" t="s">
        <v>112</v>
      </c>
      <c r="S27" t="s">
        <v>113</v>
      </c>
      <c r="T27" t="s">
        <v>32</v>
      </c>
      <c r="U27" t="s">
        <v>114</v>
      </c>
      <c r="V27" t="s">
        <v>32</v>
      </c>
      <c r="W27">
        <v>30</v>
      </c>
      <c r="X27" s="1">
        <v>46083.327373761684</v>
      </c>
    </row>
    <row r="28" spans="1:24" x14ac:dyDescent="0.2">
      <c r="A28" t="s">
        <v>123</v>
      </c>
      <c r="B28" t="s">
        <v>124</v>
      </c>
      <c r="C28" t="s">
        <v>25</v>
      </c>
      <c r="D28">
        <v>0</v>
      </c>
      <c r="E28" t="s">
        <v>110</v>
      </c>
      <c r="F28" t="s">
        <v>27</v>
      </c>
      <c r="G28" s="1">
        <v>46091</v>
      </c>
      <c r="H28" s="1">
        <v>46121</v>
      </c>
      <c r="I28">
        <v>157978676</v>
      </c>
      <c r="J28">
        <v>0</v>
      </c>
      <c r="K28">
        <v>0</v>
      </c>
      <c r="L28">
        <v>0</v>
      </c>
      <c r="M28">
        <v>0</v>
      </c>
      <c r="N28">
        <v>0</v>
      </c>
      <c r="O28">
        <f t="shared" si="0"/>
        <v>157978676</v>
      </c>
      <c r="P28" t="s">
        <v>28</v>
      </c>
      <c r="Q28" t="s">
        <v>111</v>
      </c>
      <c r="R28" t="s">
        <v>112</v>
      </c>
      <c r="S28" t="s">
        <v>113</v>
      </c>
      <c r="T28" t="s">
        <v>32</v>
      </c>
      <c r="U28" t="s">
        <v>114</v>
      </c>
      <c r="V28" t="s">
        <v>32</v>
      </c>
      <c r="W28">
        <v>30</v>
      </c>
      <c r="X28" s="1">
        <v>46091.445511713158</v>
      </c>
    </row>
    <row r="29" spans="1:24" x14ac:dyDescent="0.2">
      <c r="A29" t="s">
        <v>125</v>
      </c>
      <c r="B29" t="s">
        <v>126</v>
      </c>
      <c r="C29" t="s">
        <v>25</v>
      </c>
      <c r="D29">
        <v>0</v>
      </c>
      <c r="E29" t="s">
        <v>110</v>
      </c>
      <c r="F29" t="s">
        <v>27</v>
      </c>
      <c r="G29" s="1">
        <v>46095</v>
      </c>
      <c r="H29" s="1">
        <v>46125</v>
      </c>
      <c r="I29">
        <v>100279357</v>
      </c>
      <c r="J29">
        <v>0</v>
      </c>
      <c r="K29">
        <v>36509</v>
      </c>
      <c r="L29">
        <v>0</v>
      </c>
      <c r="M29">
        <v>0</v>
      </c>
      <c r="N29">
        <v>0</v>
      </c>
      <c r="O29">
        <f t="shared" si="0"/>
        <v>100242848</v>
      </c>
      <c r="P29" t="s">
        <v>28</v>
      </c>
      <c r="Q29" t="s">
        <v>111</v>
      </c>
      <c r="R29" t="s">
        <v>112</v>
      </c>
      <c r="S29" t="s">
        <v>113</v>
      </c>
      <c r="T29" t="s">
        <v>32</v>
      </c>
      <c r="U29" t="s">
        <v>114</v>
      </c>
      <c r="V29" t="s">
        <v>32</v>
      </c>
      <c r="W29">
        <v>30</v>
      </c>
      <c r="X29" s="1">
        <v>46095.508449062705</v>
      </c>
    </row>
    <row r="30" spans="1:24" x14ac:dyDescent="0.2">
      <c r="A30" t="s">
        <v>127</v>
      </c>
      <c r="B30" t="s">
        <v>128</v>
      </c>
      <c r="C30" t="s">
        <v>25</v>
      </c>
      <c r="D30">
        <v>0</v>
      </c>
      <c r="E30" t="s">
        <v>110</v>
      </c>
      <c r="F30" t="s">
        <v>27</v>
      </c>
      <c r="G30" s="1">
        <v>46095</v>
      </c>
      <c r="H30" s="1">
        <v>46125</v>
      </c>
      <c r="I30">
        <v>32349969</v>
      </c>
      <c r="J30">
        <v>0</v>
      </c>
      <c r="K30">
        <v>0</v>
      </c>
      <c r="L30">
        <v>0</v>
      </c>
      <c r="M30">
        <v>0</v>
      </c>
      <c r="N30">
        <v>0</v>
      </c>
      <c r="O30">
        <f t="shared" si="0"/>
        <v>32349969</v>
      </c>
      <c r="P30" t="s">
        <v>28</v>
      </c>
      <c r="Q30" t="s">
        <v>111</v>
      </c>
      <c r="R30" t="s">
        <v>112</v>
      </c>
      <c r="S30" t="s">
        <v>113</v>
      </c>
      <c r="T30" t="s">
        <v>32</v>
      </c>
      <c r="U30" t="s">
        <v>114</v>
      </c>
      <c r="V30" t="s">
        <v>32</v>
      </c>
      <c r="W30">
        <v>30</v>
      </c>
      <c r="X30" s="1">
        <v>46095.5096180439</v>
      </c>
    </row>
    <row r="31" spans="1:24" x14ac:dyDescent="0.2">
      <c r="A31" t="s">
        <v>129</v>
      </c>
      <c r="B31" t="s">
        <v>130</v>
      </c>
      <c r="C31" t="s">
        <v>25</v>
      </c>
      <c r="D31">
        <v>0</v>
      </c>
      <c r="E31" t="s">
        <v>131</v>
      </c>
      <c r="F31" t="s">
        <v>27</v>
      </c>
      <c r="G31" s="1">
        <v>46043</v>
      </c>
      <c r="H31" s="1">
        <v>46088</v>
      </c>
      <c r="I31">
        <v>0</v>
      </c>
      <c r="J31">
        <v>12026280</v>
      </c>
      <c r="K31">
        <v>0</v>
      </c>
      <c r="L31">
        <v>0</v>
      </c>
      <c r="M31">
        <v>0</v>
      </c>
      <c r="N31">
        <v>1</v>
      </c>
      <c r="O31">
        <f t="shared" si="0"/>
        <v>12026280</v>
      </c>
      <c r="P31" t="s">
        <v>28</v>
      </c>
      <c r="Q31" t="s">
        <v>132</v>
      </c>
      <c r="R31" t="s">
        <v>133</v>
      </c>
      <c r="S31" t="s">
        <v>32</v>
      </c>
      <c r="T31" t="s">
        <v>32</v>
      </c>
      <c r="U31" t="s">
        <v>134</v>
      </c>
      <c r="V31" t="s">
        <v>32</v>
      </c>
      <c r="W31">
        <v>45</v>
      </c>
      <c r="X31" s="1">
        <v>46043.328805011697</v>
      </c>
    </row>
    <row r="32" spans="1:24" x14ac:dyDescent="0.2">
      <c r="A32" t="s">
        <v>135</v>
      </c>
      <c r="B32" t="s">
        <v>136</v>
      </c>
      <c r="C32" t="s">
        <v>25</v>
      </c>
      <c r="D32">
        <v>0</v>
      </c>
      <c r="E32" t="s">
        <v>131</v>
      </c>
      <c r="F32" t="s">
        <v>27</v>
      </c>
      <c r="G32" s="1">
        <v>46065</v>
      </c>
      <c r="H32" s="1">
        <v>46110</v>
      </c>
      <c r="I32">
        <v>0</v>
      </c>
      <c r="J32">
        <v>9760800</v>
      </c>
      <c r="K32">
        <v>0</v>
      </c>
      <c r="L32">
        <v>0</v>
      </c>
      <c r="M32">
        <v>0</v>
      </c>
      <c r="N32">
        <v>1</v>
      </c>
      <c r="O32">
        <f t="shared" si="0"/>
        <v>9760800</v>
      </c>
      <c r="P32" t="s">
        <v>28</v>
      </c>
      <c r="Q32" t="s">
        <v>132</v>
      </c>
      <c r="R32" t="s">
        <v>133</v>
      </c>
      <c r="S32" t="s">
        <v>32</v>
      </c>
      <c r="T32" t="s">
        <v>32</v>
      </c>
      <c r="U32" t="s">
        <v>134</v>
      </c>
      <c r="V32" t="s">
        <v>32</v>
      </c>
      <c r="W32">
        <v>45</v>
      </c>
      <c r="X32" s="1">
        <v>46065.428091967478</v>
      </c>
    </row>
    <row r="33" spans="1:24" x14ac:dyDescent="0.2">
      <c r="A33" t="s">
        <v>137</v>
      </c>
      <c r="B33" t="s">
        <v>138</v>
      </c>
      <c r="C33" t="s">
        <v>25</v>
      </c>
      <c r="D33">
        <v>0</v>
      </c>
      <c r="E33" t="s">
        <v>131</v>
      </c>
      <c r="F33" t="s">
        <v>27</v>
      </c>
      <c r="G33" s="1">
        <v>46078</v>
      </c>
      <c r="H33" s="1">
        <v>46123</v>
      </c>
      <c r="I33">
        <v>0</v>
      </c>
      <c r="J33">
        <v>14279090</v>
      </c>
      <c r="K33">
        <v>0</v>
      </c>
      <c r="L33">
        <v>0</v>
      </c>
      <c r="M33">
        <v>0</v>
      </c>
      <c r="N33">
        <v>1</v>
      </c>
      <c r="O33">
        <f t="shared" si="0"/>
        <v>14279090</v>
      </c>
      <c r="P33" t="s">
        <v>28</v>
      </c>
      <c r="Q33" t="s">
        <v>132</v>
      </c>
      <c r="R33" t="s">
        <v>133</v>
      </c>
      <c r="S33" t="s">
        <v>32</v>
      </c>
      <c r="T33" t="s">
        <v>32</v>
      </c>
      <c r="U33" t="s">
        <v>134</v>
      </c>
      <c r="V33" t="s">
        <v>32</v>
      </c>
      <c r="W33">
        <v>45</v>
      </c>
      <c r="X33" s="1">
        <v>46078.455213448964</v>
      </c>
    </row>
    <row r="34" spans="1:24" x14ac:dyDescent="0.2">
      <c r="A34" t="s">
        <v>139</v>
      </c>
      <c r="B34" t="s">
        <v>140</v>
      </c>
      <c r="C34" t="s">
        <v>25</v>
      </c>
      <c r="D34">
        <v>0</v>
      </c>
      <c r="E34" t="s">
        <v>131</v>
      </c>
      <c r="F34" t="s">
        <v>27</v>
      </c>
      <c r="G34" s="1">
        <v>46081</v>
      </c>
      <c r="H34" s="1">
        <v>46111</v>
      </c>
      <c r="I34">
        <v>0</v>
      </c>
      <c r="J34">
        <v>753480</v>
      </c>
      <c r="K34">
        <v>0</v>
      </c>
      <c r="L34">
        <v>0</v>
      </c>
      <c r="M34">
        <v>0</v>
      </c>
      <c r="N34">
        <v>1</v>
      </c>
      <c r="O34">
        <f t="shared" si="0"/>
        <v>753480</v>
      </c>
      <c r="P34" t="s">
        <v>28</v>
      </c>
      <c r="Q34" t="s">
        <v>132</v>
      </c>
      <c r="R34" t="s">
        <v>133</v>
      </c>
      <c r="S34" t="s">
        <v>32</v>
      </c>
      <c r="T34" t="s">
        <v>32</v>
      </c>
      <c r="U34" t="s">
        <v>134</v>
      </c>
      <c r="V34" t="s">
        <v>32</v>
      </c>
      <c r="W34">
        <v>45</v>
      </c>
      <c r="X34" s="1">
        <v>46081.617638645694</v>
      </c>
    </row>
    <row r="35" spans="1:24" x14ac:dyDescent="0.2">
      <c r="A35" t="s">
        <v>141</v>
      </c>
      <c r="B35" t="s">
        <v>142</v>
      </c>
      <c r="C35" t="s">
        <v>25</v>
      </c>
      <c r="D35">
        <v>0</v>
      </c>
      <c r="E35" t="s">
        <v>131</v>
      </c>
      <c r="F35" t="s">
        <v>27</v>
      </c>
      <c r="G35" s="1">
        <v>46101</v>
      </c>
      <c r="H35" s="1">
        <v>46146</v>
      </c>
      <c r="I35">
        <v>7131600</v>
      </c>
      <c r="J35">
        <v>0</v>
      </c>
      <c r="K35">
        <v>0</v>
      </c>
      <c r="L35">
        <v>0</v>
      </c>
      <c r="M35">
        <v>0</v>
      </c>
      <c r="N35">
        <v>0</v>
      </c>
      <c r="O35">
        <f t="shared" si="0"/>
        <v>7131600</v>
      </c>
      <c r="P35" t="s">
        <v>28</v>
      </c>
      <c r="Q35" t="s">
        <v>132</v>
      </c>
      <c r="R35" t="s">
        <v>133</v>
      </c>
      <c r="S35" t="s">
        <v>32</v>
      </c>
      <c r="T35" t="s">
        <v>32</v>
      </c>
      <c r="U35" t="s">
        <v>134</v>
      </c>
      <c r="V35" t="s">
        <v>32</v>
      </c>
      <c r="W35">
        <v>45</v>
      </c>
      <c r="X35" s="1">
        <v>46101.417974537238</v>
      </c>
    </row>
    <row r="36" spans="1:24" x14ac:dyDescent="0.2">
      <c r="A36" t="s">
        <v>143</v>
      </c>
      <c r="B36" t="s">
        <v>144</v>
      </c>
      <c r="C36" t="s">
        <v>25</v>
      </c>
      <c r="D36">
        <v>0</v>
      </c>
      <c r="E36" t="s">
        <v>145</v>
      </c>
      <c r="F36" t="s">
        <v>27</v>
      </c>
      <c r="G36" s="1">
        <v>46042</v>
      </c>
      <c r="H36" s="1">
        <v>46072</v>
      </c>
      <c r="I36">
        <v>0</v>
      </c>
      <c r="J36">
        <v>63825000</v>
      </c>
      <c r="K36">
        <v>0</v>
      </c>
      <c r="L36">
        <v>0</v>
      </c>
      <c r="M36">
        <v>0</v>
      </c>
      <c r="N36">
        <v>1</v>
      </c>
      <c r="O36">
        <f t="shared" si="0"/>
        <v>63825000</v>
      </c>
      <c r="P36" t="s">
        <v>28</v>
      </c>
      <c r="Q36" t="s">
        <v>146</v>
      </c>
      <c r="R36" t="s">
        <v>147</v>
      </c>
      <c r="S36" t="s">
        <v>148</v>
      </c>
      <c r="T36" t="s">
        <v>32</v>
      </c>
      <c r="U36" t="s">
        <v>149</v>
      </c>
      <c r="V36" t="s">
        <v>150</v>
      </c>
      <c r="W36">
        <v>30</v>
      </c>
      <c r="X36" s="1">
        <v>46042.40180621529</v>
      </c>
    </row>
    <row r="37" spans="1:24" x14ac:dyDescent="0.2">
      <c r="A37" t="s">
        <v>151</v>
      </c>
      <c r="B37" t="s">
        <v>152</v>
      </c>
      <c r="C37" t="s">
        <v>25</v>
      </c>
      <c r="D37">
        <v>0</v>
      </c>
      <c r="E37" t="s">
        <v>145</v>
      </c>
      <c r="F37" t="s">
        <v>27</v>
      </c>
      <c r="G37" s="1">
        <v>46057</v>
      </c>
      <c r="H37" s="1">
        <v>46087</v>
      </c>
      <c r="I37">
        <v>0</v>
      </c>
      <c r="J37">
        <v>88400000</v>
      </c>
      <c r="K37">
        <v>0</v>
      </c>
      <c r="L37">
        <v>0</v>
      </c>
      <c r="M37">
        <v>0</v>
      </c>
      <c r="N37">
        <v>1</v>
      </c>
      <c r="O37">
        <f t="shared" si="0"/>
        <v>88400000</v>
      </c>
      <c r="P37" t="s">
        <v>28</v>
      </c>
      <c r="Q37" t="s">
        <v>146</v>
      </c>
      <c r="R37" t="s">
        <v>147</v>
      </c>
      <c r="S37" t="s">
        <v>148</v>
      </c>
      <c r="T37" t="s">
        <v>32</v>
      </c>
      <c r="U37" t="s">
        <v>149</v>
      </c>
      <c r="V37" t="s">
        <v>150</v>
      </c>
      <c r="W37">
        <v>30</v>
      </c>
      <c r="X37" s="1">
        <v>46057.624192546122</v>
      </c>
    </row>
    <row r="38" spans="1:24" x14ac:dyDescent="0.2">
      <c r="A38" t="s">
        <v>153</v>
      </c>
      <c r="B38" t="s">
        <v>154</v>
      </c>
      <c r="C38" t="s">
        <v>25</v>
      </c>
      <c r="D38">
        <v>0</v>
      </c>
      <c r="E38" t="s">
        <v>145</v>
      </c>
      <c r="F38" t="s">
        <v>27</v>
      </c>
      <c r="G38" s="1">
        <v>46064</v>
      </c>
      <c r="H38" s="1">
        <v>46094</v>
      </c>
      <c r="I38">
        <v>0</v>
      </c>
      <c r="J38">
        <v>91000000</v>
      </c>
      <c r="K38">
        <v>0</v>
      </c>
      <c r="L38">
        <v>0</v>
      </c>
      <c r="M38">
        <v>0</v>
      </c>
      <c r="N38">
        <v>1</v>
      </c>
      <c r="O38">
        <f t="shared" si="0"/>
        <v>91000000</v>
      </c>
      <c r="P38" t="s">
        <v>28</v>
      </c>
      <c r="Q38" t="s">
        <v>146</v>
      </c>
      <c r="R38" t="s">
        <v>147</v>
      </c>
      <c r="S38" t="s">
        <v>148</v>
      </c>
      <c r="T38" t="s">
        <v>32</v>
      </c>
      <c r="U38" t="s">
        <v>149</v>
      </c>
      <c r="V38" t="s">
        <v>150</v>
      </c>
      <c r="W38">
        <v>30</v>
      </c>
      <c r="X38" s="1">
        <v>46064.312394282315</v>
      </c>
    </row>
    <row r="39" spans="1:24" x14ac:dyDescent="0.2">
      <c r="A39" t="s">
        <v>155</v>
      </c>
      <c r="B39" t="s">
        <v>156</v>
      </c>
      <c r="C39" t="s">
        <v>25</v>
      </c>
      <c r="D39">
        <v>0</v>
      </c>
      <c r="E39" t="s">
        <v>145</v>
      </c>
      <c r="F39" t="s">
        <v>27</v>
      </c>
      <c r="G39" s="1">
        <v>46071</v>
      </c>
      <c r="H39" s="1">
        <v>46099</v>
      </c>
      <c r="I39">
        <v>0</v>
      </c>
      <c r="J39">
        <v>88400000</v>
      </c>
      <c r="K39">
        <v>0</v>
      </c>
      <c r="L39">
        <v>0</v>
      </c>
      <c r="M39">
        <v>0</v>
      </c>
      <c r="N39">
        <v>1</v>
      </c>
      <c r="O39">
        <f t="shared" si="0"/>
        <v>88400000</v>
      </c>
      <c r="P39" t="s">
        <v>28</v>
      </c>
      <c r="Q39" t="s">
        <v>146</v>
      </c>
      <c r="R39" t="s">
        <v>147</v>
      </c>
      <c r="S39" t="s">
        <v>148</v>
      </c>
      <c r="T39" t="s">
        <v>32</v>
      </c>
      <c r="U39" t="s">
        <v>149</v>
      </c>
      <c r="V39" t="s">
        <v>150</v>
      </c>
      <c r="W39">
        <v>30</v>
      </c>
      <c r="X39" s="1">
        <v>46071.320833761711</v>
      </c>
    </row>
    <row r="40" spans="1:24" x14ac:dyDescent="0.2">
      <c r="A40" t="s">
        <v>157</v>
      </c>
      <c r="B40" t="s">
        <v>158</v>
      </c>
      <c r="C40" t="s">
        <v>25</v>
      </c>
      <c r="D40">
        <v>0</v>
      </c>
      <c r="E40" t="s">
        <v>145</v>
      </c>
      <c r="F40" t="s">
        <v>27</v>
      </c>
      <c r="G40" s="1">
        <v>46073</v>
      </c>
      <c r="H40" s="1">
        <v>46103</v>
      </c>
      <c r="I40">
        <v>0</v>
      </c>
      <c r="J40">
        <v>66500000</v>
      </c>
      <c r="K40">
        <v>0</v>
      </c>
      <c r="L40">
        <v>0</v>
      </c>
      <c r="M40">
        <v>0</v>
      </c>
      <c r="N40">
        <v>1</v>
      </c>
      <c r="O40">
        <f t="shared" si="0"/>
        <v>66500000</v>
      </c>
      <c r="P40" t="s">
        <v>28</v>
      </c>
      <c r="Q40" t="s">
        <v>146</v>
      </c>
      <c r="R40" t="s">
        <v>147</v>
      </c>
      <c r="S40" t="s">
        <v>148</v>
      </c>
      <c r="T40" t="s">
        <v>32</v>
      </c>
      <c r="U40" t="s">
        <v>149</v>
      </c>
      <c r="V40" t="s">
        <v>150</v>
      </c>
      <c r="W40">
        <v>30</v>
      </c>
      <c r="X40" s="1">
        <v>46074.428486840334</v>
      </c>
    </row>
    <row r="41" spans="1:24" x14ac:dyDescent="0.2">
      <c r="A41" t="s">
        <v>159</v>
      </c>
      <c r="B41" t="s">
        <v>160</v>
      </c>
      <c r="C41" t="s">
        <v>25</v>
      </c>
      <c r="D41">
        <v>0</v>
      </c>
      <c r="E41" t="s">
        <v>145</v>
      </c>
      <c r="F41" t="s">
        <v>27</v>
      </c>
      <c r="G41" s="1">
        <v>46073</v>
      </c>
      <c r="H41" s="1">
        <v>46101</v>
      </c>
      <c r="I41">
        <v>0</v>
      </c>
      <c r="J41">
        <v>91000000</v>
      </c>
      <c r="K41">
        <v>0</v>
      </c>
      <c r="L41">
        <v>0</v>
      </c>
      <c r="M41">
        <v>0</v>
      </c>
      <c r="N41">
        <v>1</v>
      </c>
      <c r="O41">
        <f t="shared" si="0"/>
        <v>91000000</v>
      </c>
      <c r="P41" t="s">
        <v>28</v>
      </c>
      <c r="Q41" t="s">
        <v>146</v>
      </c>
      <c r="R41" t="s">
        <v>147</v>
      </c>
      <c r="S41" t="s">
        <v>148</v>
      </c>
      <c r="T41" t="s">
        <v>32</v>
      </c>
      <c r="U41" t="s">
        <v>149</v>
      </c>
      <c r="V41" t="s">
        <v>150</v>
      </c>
      <c r="W41">
        <v>30</v>
      </c>
      <c r="X41" s="1">
        <v>46074.432502812706</v>
      </c>
    </row>
    <row r="42" spans="1:24" x14ac:dyDescent="0.2">
      <c r="A42" t="s">
        <v>161</v>
      </c>
      <c r="B42" t="s">
        <v>162</v>
      </c>
      <c r="C42" t="s">
        <v>25</v>
      </c>
      <c r="D42">
        <v>0</v>
      </c>
      <c r="E42" t="s">
        <v>145</v>
      </c>
      <c r="F42" t="s">
        <v>27</v>
      </c>
      <c r="G42" s="1">
        <v>46081</v>
      </c>
      <c r="H42" s="1">
        <v>46111</v>
      </c>
      <c r="I42">
        <v>0</v>
      </c>
      <c r="J42">
        <v>91000000</v>
      </c>
      <c r="K42">
        <v>0</v>
      </c>
      <c r="L42">
        <v>0</v>
      </c>
      <c r="M42">
        <v>0</v>
      </c>
      <c r="N42">
        <v>1</v>
      </c>
      <c r="O42">
        <f t="shared" si="0"/>
        <v>91000000</v>
      </c>
      <c r="P42" t="s">
        <v>28</v>
      </c>
      <c r="Q42" t="s">
        <v>146</v>
      </c>
      <c r="R42" t="s">
        <v>147</v>
      </c>
      <c r="S42" t="s">
        <v>148</v>
      </c>
      <c r="T42" t="s">
        <v>32</v>
      </c>
      <c r="U42" t="s">
        <v>149</v>
      </c>
      <c r="V42" t="s">
        <v>150</v>
      </c>
      <c r="W42">
        <v>30</v>
      </c>
      <c r="X42" s="1">
        <v>46083.48922022013</v>
      </c>
    </row>
    <row r="43" spans="1:24" x14ac:dyDescent="0.2">
      <c r="A43" t="s">
        <v>163</v>
      </c>
      <c r="B43" t="s">
        <v>164</v>
      </c>
      <c r="C43" t="s">
        <v>25</v>
      </c>
      <c r="D43">
        <v>0</v>
      </c>
      <c r="E43" t="s">
        <v>165</v>
      </c>
      <c r="F43" t="s">
        <v>166</v>
      </c>
      <c r="G43" s="1">
        <v>46037</v>
      </c>
      <c r="H43" s="1">
        <v>46068</v>
      </c>
      <c r="I43">
        <v>0</v>
      </c>
      <c r="J43">
        <v>2382611</v>
      </c>
      <c r="K43">
        <v>0</v>
      </c>
      <c r="L43">
        <v>0</v>
      </c>
      <c r="M43">
        <v>1</v>
      </c>
      <c r="N43">
        <v>1</v>
      </c>
      <c r="O43">
        <f t="shared" si="0"/>
        <v>2382611</v>
      </c>
      <c r="P43" t="s">
        <v>28</v>
      </c>
      <c r="Q43" t="s">
        <v>167</v>
      </c>
      <c r="R43" t="s">
        <v>168</v>
      </c>
      <c r="S43" t="s">
        <v>32</v>
      </c>
      <c r="T43" t="s">
        <v>32</v>
      </c>
      <c r="U43" t="s">
        <v>32</v>
      </c>
      <c r="V43" t="s">
        <v>32</v>
      </c>
      <c r="W43">
        <v>0</v>
      </c>
      <c r="X43" s="1">
        <v>46055.624292210676</v>
      </c>
    </row>
    <row r="44" spans="1:24" x14ac:dyDescent="0.2">
      <c r="A44" t="s">
        <v>169</v>
      </c>
      <c r="B44" t="s">
        <v>170</v>
      </c>
      <c r="C44" t="s">
        <v>25</v>
      </c>
      <c r="D44">
        <v>0</v>
      </c>
      <c r="E44" t="s">
        <v>165</v>
      </c>
      <c r="F44" t="s">
        <v>27</v>
      </c>
      <c r="G44" s="1">
        <v>46037</v>
      </c>
      <c r="H44" s="1">
        <v>46068</v>
      </c>
      <c r="I44">
        <v>0</v>
      </c>
      <c r="J44">
        <v>2382611</v>
      </c>
      <c r="K44">
        <v>0</v>
      </c>
      <c r="L44">
        <v>0</v>
      </c>
      <c r="M44">
        <v>1</v>
      </c>
      <c r="N44">
        <v>1</v>
      </c>
      <c r="O44">
        <f t="shared" si="0"/>
        <v>2382611</v>
      </c>
      <c r="P44" t="s">
        <v>28</v>
      </c>
      <c r="Q44" t="s">
        <v>167</v>
      </c>
      <c r="R44" t="s">
        <v>168</v>
      </c>
      <c r="S44" t="s">
        <v>32</v>
      </c>
      <c r="T44" t="s">
        <v>32</v>
      </c>
      <c r="U44" t="s">
        <v>32</v>
      </c>
      <c r="V44" t="s">
        <v>32</v>
      </c>
      <c r="W44">
        <v>0</v>
      </c>
      <c r="X44" s="1">
        <v>46055.626311134081</v>
      </c>
    </row>
    <row r="45" spans="1:24" x14ac:dyDescent="0.2">
      <c r="A45" t="s">
        <v>171</v>
      </c>
      <c r="B45" t="s">
        <v>172</v>
      </c>
      <c r="C45" t="s">
        <v>25</v>
      </c>
      <c r="D45">
        <v>0</v>
      </c>
      <c r="E45" t="s">
        <v>165</v>
      </c>
      <c r="F45" t="s">
        <v>166</v>
      </c>
      <c r="G45" s="1">
        <v>46037</v>
      </c>
      <c r="H45" s="1">
        <v>46068</v>
      </c>
      <c r="I45">
        <v>0</v>
      </c>
      <c r="J45">
        <v>2382611</v>
      </c>
      <c r="K45">
        <v>0</v>
      </c>
      <c r="L45">
        <v>0</v>
      </c>
      <c r="M45">
        <v>1</v>
      </c>
      <c r="N45">
        <v>1</v>
      </c>
      <c r="O45">
        <f t="shared" si="0"/>
        <v>2382611</v>
      </c>
      <c r="P45" t="s">
        <v>28</v>
      </c>
      <c r="Q45" t="s">
        <v>167</v>
      </c>
      <c r="R45" t="s">
        <v>168</v>
      </c>
      <c r="S45" t="s">
        <v>32</v>
      </c>
      <c r="T45" t="s">
        <v>32</v>
      </c>
      <c r="U45" t="s">
        <v>32</v>
      </c>
      <c r="V45" t="s">
        <v>32</v>
      </c>
      <c r="W45">
        <v>0</v>
      </c>
      <c r="X45" s="1">
        <v>46055.619170914404</v>
      </c>
    </row>
    <row r="46" spans="1:24" x14ac:dyDescent="0.2">
      <c r="A46" t="s">
        <v>173</v>
      </c>
      <c r="B46" t="s">
        <v>174</v>
      </c>
      <c r="C46" t="s">
        <v>25</v>
      </c>
      <c r="D46">
        <v>0</v>
      </c>
      <c r="E46" t="s">
        <v>175</v>
      </c>
      <c r="F46" t="s">
        <v>27</v>
      </c>
      <c r="G46" s="1">
        <v>46064</v>
      </c>
      <c r="H46" s="1">
        <v>46094</v>
      </c>
      <c r="I46">
        <v>0</v>
      </c>
      <c r="J46">
        <v>7339500</v>
      </c>
      <c r="K46">
        <v>0</v>
      </c>
      <c r="L46">
        <v>0</v>
      </c>
      <c r="M46">
        <v>0</v>
      </c>
      <c r="N46">
        <v>1</v>
      </c>
      <c r="O46">
        <f t="shared" si="0"/>
        <v>7339500</v>
      </c>
      <c r="P46" t="s">
        <v>28</v>
      </c>
      <c r="Q46" t="s">
        <v>176</v>
      </c>
      <c r="R46" t="s">
        <v>177</v>
      </c>
      <c r="S46" t="s">
        <v>178</v>
      </c>
      <c r="T46" t="s">
        <v>179</v>
      </c>
      <c r="U46" t="s">
        <v>180</v>
      </c>
      <c r="V46" t="s">
        <v>32</v>
      </c>
      <c r="W46">
        <v>30</v>
      </c>
      <c r="X46" s="1">
        <v>46064.659753819462</v>
      </c>
    </row>
    <row r="47" spans="1:24" x14ac:dyDescent="0.2">
      <c r="A47" t="s">
        <v>181</v>
      </c>
      <c r="B47" t="s">
        <v>182</v>
      </c>
      <c r="C47" t="s">
        <v>25</v>
      </c>
      <c r="D47">
        <v>0</v>
      </c>
      <c r="E47" t="s">
        <v>183</v>
      </c>
      <c r="F47" t="s">
        <v>27</v>
      </c>
      <c r="G47" s="1">
        <v>46013</v>
      </c>
      <c r="H47" s="1">
        <v>46058</v>
      </c>
      <c r="I47">
        <v>0</v>
      </c>
      <c r="J47">
        <v>499899</v>
      </c>
      <c r="K47">
        <v>0</v>
      </c>
      <c r="L47">
        <v>0</v>
      </c>
      <c r="M47">
        <v>1</v>
      </c>
      <c r="N47">
        <v>1</v>
      </c>
      <c r="O47">
        <f t="shared" si="0"/>
        <v>499899</v>
      </c>
      <c r="P47" t="s">
        <v>28</v>
      </c>
      <c r="Q47" t="s">
        <v>184</v>
      </c>
      <c r="R47" t="s">
        <v>185</v>
      </c>
      <c r="S47" t="s">
        <v>113</v>
      </c>
      <c r="T47" t="s">
        <v>186</v>
      </c>
      <c r="U47" t="s">
        <v>187</v>
      </c>
      <c r="V47" t="s">
        <v>188</v>
      </c>
      <c r="W47">
        <v>45</v>
      </c>
      <c r="X47" s="1">
        <v>46018.4355810415</v>
      </c>
    </row>
    <row r="48" spans="1:24" x14ac:dyDescent="0.2">
      <c r="A48" t="s">
        <v>189</v>
      </c>
      <c r="B48" t="s">
        <v>190</v>
      </c>
      <c r="C48" t="s">
        <v>25</v>
      </c>
      <c r="D48">
        <v>0</v>
      </c>
      <c r="E48" t="s">
        <v>183</v>
      </c>
      <c r="F48" t="s">
        <v>27</v>
      </c>
      <c r="G48" s="1">
        <v>46042</v>
      </c>
      <c r="H48" s="1">
        <v>46087</v>
      </c>
      <c r="I48">
        <v>0</v>
      </c>
      <c r="J48">
        <v>58726478</v>
      </c>
      <c r="K48">
        <v>0</v>
      </c>
      <c r="L48">
        <v>0</v>
      </c>
      <c r="M48">
        <v>0</v>
      </c>
      <c r="N48">
        <v>1</v>
      </c>
      <c r="O48">
        <f t="shared" si="0"/>
        <v>58726478</v>
      </c>
      <c r="P48" t="s">
        <v>28</v>
      </c>
      <c r="Q48" t="s">
        <v>184</v>
      </c>
      <c r="R48" t="s">
        <v>185</v>
      </c>
      <c r="S48" t="s">
        <v>113</v>
      </c>
      <c r="T48" t="s">
        <v>186</v>
      </c>
      <c r="U48" t="s">
        <v>187</v>
      </c>
      <c r="V48" t="s">
        <v>188</v>
      </c>
      <c r="W48">
        <v>45</v>
      </c>
      <c r="X48" s="1">
        <v>46042.621752199251</v>
      </c>
    </row>
    <row r="49" spans="1:24" x14ac:dyDescent="0.2">
      <c r="A49" t="s">
        <v>191</v>
      </c>
      <c r="B49" t="s">
        <v>192</v>
      </c>
      <c r="C49" t="s">
        <v>25</v>
      </c>
      <c r="D49">
        <v>0</v>
      </c>
      <c r="E49" t="s">
        <v>183</v>
      </c>
      <c r="F49" t="s">
        <v>27</v>
      </c>
      <c r="G49" s="1">
        <v>46042</v>
      </c>
      <c r="H49" s="1">
        <v>46087</v>
      </c>
      <c r="I49">
        <v>0</v>
      </c>
      <c r="J49">
        <v>5365412</v>
      </c>
      <c r="K49">
        <v>0</v>
      </c>
      <c r="L49">
        <v>0</v>
      </c>
      <c r="M49">
        <v>0</v>
      </c>
      <c r="N49">
        <v>1</v>
      </c>
      <c r="O49">
        <f t="shared" si="0"/>
        <v>5365412</v>
      </c>
      <c r="P49" t="s">
        <v>28</v>
      </c>
      <c r="Q49" t="s">
        <v>184</v>
      </c>
      <c r="R49" t="s">
        <v>185</v>
      </c>
      <c r="S49" t="s">
        <v>113</v>
      </c>
      <c r="T49" t="s">
        <v>186</v>
      </c>
      <c r="U49" t="s">
        <v>187</v>
      </c>
      <c r="V49" t="s">
        <v>188</v>
      </c>
      <c r="W49">
        <v>45</v>
      </c>
      <c r="X49" s="1">
        <v>46042.622671400663</v>
      </c>
    </row>
    <row r="50" spans="1:24" x14ac:dyDescent="0.2">
      <c r="A50" t="s">
        <v>193</v>
      </c>
      <c r="B50" t="s">
        <v>194</v>
      </c>
      <c r="C50" t="s">
        <v>25</v>
      </c>
      <c r="D50">
        <v>0</v>
      </c>
      <c r="E50" t="s">
        <v>183</v>
      </c>
      <c r="F50" t="s">
        <v>27</v>
      </c>
      <c r="G50" s="1">
        <v>46058</v>
      </c>
      <c r="H50" s="1">
        <v>46103</v>
      </c>
      <c r="I50">
        <v>0</v>
      </c>
      <c r="J50">
        <v>2305561</v>
      </c>
      <c r="K50">
        <v>0</v>
      </c>
      <c r="L50">
        <v>0</v>
      </c>
      <c r="M50">
        <v>0</v>
      </c>
      <c r="N50">
        <v>1</v>
      </c>
      <c r="O50">
        <f t="shared" si="0"/>
        <v>2305561</v>
      </c>
      <c r="P50" t="s">
        <v>28</v>
      </c>
      <c r="Q50" t="s">
        <v>184</v>
      </c>
      <c r="R50" t="s">
        <v>185</v>
      </c>
      <c r="S50" t="s">
        <v>113</v>
      </c>
      <c r="T50" t="s">
        <v>186</v>
      </c>
      <c r="U50" t="s">
        <v>187</v>
      </c>
      <c r="V50" t="s">
        <v>188</v>
      </c>
      <c r="W50">
        <v>45</v>
      </c>
      <c r="X50" s="1">
        <v>46058.665826065</v>
      </c>
    </row>
    <row r="51" spans="1:24" x14ac:dyDescent="0.2">
      <c r="A51" t="s">
        <v>195</v>
      </c>
      <c r="B51" t="s">
        <v>196</v>
      </c>
      <c r="C51" t="s">
        <v>25</v>
      </c>
      <c r="D51">
        <v>0</v>
      </c>
      <c r="E51" t="s">
        <v>183</v>
      </c>
      <c r="F51" t="s">
        <v>27</v>
      </c>
      <c r="G51" s="1">
        <v>46058</v>
      </c>
      <c r="H51" s="1">
        <v>46103</v>
      </c>
      <c r="I51">
        <v>0</v>
      </c>
      <c r="J51">
        <v>631728</v>
      </c>
      <c r="K51">
        <v>0</v>
      </c>
      <c r="L51">
        <v>0</v>
      </c>
      <c r="M51">
        <v>0</v>
      </c>
      <c r="N51">
        <v>1</v>
      </c>
      <c r="O51">
        <f t="shared" si="0"/>
        <v>631728</v>
      </c>
      <c r="P51" t="s">
        <v>28</v>
      </c>
      <c r="Q51" t="s">
        <v>184</v>
      </c>
      <c r="R51" t="s">
        <v>185</v>
      </c>
      <c r="S51" t="s">
        <v>113</v>
      </c>
      <c r="T51" t="s">
        <v>186</v>
      </c>
      <c r="U51" t="s">
        <v>187</v>
      </c>
      <c r="V51" t="s">
        <v>188</v>
      </c>
      <c r="W51">
        <v>45</v>
      </c>
      <c r="X51" s="1">
        <v>46058.667198680341</v>
      </c>
    </row>
    <row r="52" spans="1:24" x14ac:dyDescent="0.2">
      <c r="A52" t="s">
        <v>197</v>
      </c>
      <c r="B52" t="s">
        <v>198</v>
      </c>
      <c r="C52" t="s">
        <v>25</v>
      </c>
      <c r="D52">
        <v>0</v>
      </c>
      <c r="E52" t="s">
        <v>183</v>
      </c>
      <c r="F52" t="s">
        <v>27</v>
      </c>
      <c r="G52" s="1">
        <v>46066</v>
      </c>
      <c r="H52" s="1">
        <v>46111</v>
      </c>
      <c r="I52">
        <v>0</v>
      </c>
      <c r="J52">
        <v>4653000</v>
      </c>
      <c r="K52">
        <v>0</v>
      </c>
      <c r="L52">
        <v>0</v>
      </c>
      <c r="M52">
        <v>1</v>
      </c>
      <c r="N52">
        <v>1</v>
      </c>
      <c r="O52">
        <f t="shared" si="0"/>
        <v>4653000</v>
      </c>
      <c r="P52" t="s">
        <v>28</v>
      </c>
      <c r="Q52" t="s">
        <v>184</v>
      </c>
      <c r="R52" t="s">
        <v>185</v>
      </c>
      <c r="S52" t="s">
        <v>113</v>
      </c>
      <c r="T52" t="s">
        <v>186</v>
      </c>
      <c r="U52" t="s">
        <v>187</v>
      </c>
      <c r="V52" t="s">
        <v>188</v>
      </c>
      <c r="W52">
        <v>45</v>
      </c>
      <c r="X52" s="1">
        <v>46072.46172792837</v>
      </c>
    </row>
    <row r="53" spans="1:24" x14ac:dyDescent="0.2">
      <c r="A53" t="s">
        <v>199</v>
      </c>
      <c r="B53" t="s">
        <v>200</v>
      </c>
      <c r="C53" t="s">
        <v>25</v>
      </c>
      <c r="D53">
        <v>0</v>
      </c>
      <c r="E53" t="s">
        <v>183</v>
      </c>
      <c r="F53" t="s">
        <v>27</v>
      </c>
      <c r="G53" s="1">
        <v>46069</v>
      </c>
      <c r="H53" s="1">
        <v>46114</v>
      </c>
      <c r="I53">
        <v>0</v>
      </c>
      <c r="J53">
        <v>23431374</v>
      </c>
      <c r="K53">
        <v>0</v>
      </c>
      <c r="L53">
        <v>0</v>
      </c>
      <c r="M53">
        <v>0</v>
      </c>
      <c r="N53">
        <v>1</v>
      </c>
      <c r="O53">
        <f t="shared" si="0"/>
        <v>23431374</v>
      </c>
      <c r="P53" t="s">
        <v>28</v>
      </c>
      <c r="Q53" t="s">
        <v>184</v>
      </c>
      <c r="R53" t="s">
        <v>185</v>
      </c>
      <c r="S53" t="s">
        <v>113</v>
      </c>
      <c r="T53" t="s">
        <v>186</v>
      </c>
      <c r="U53" t="s">
        <v>187</v>
      </c>
      <c r="V53" t="s">
        <v>188</v>
      </c>
      <c r="W53">
        <v>45</v>
      </c>
      <c r="X53" s="1">
        <v>46069.696008518338</v>
      </c>
    </row>
    <row r="54" spans="1:24" x14ac:dyDescent="0.2">
      <c r="A54" t="s">
        <v>201</v>
      </c>
      <c r="B54" t="s">
        <v>202</v>
      </c>
      <c r="C54" t="s">
        <v>25</v>
      </c>
      <c r="D54">
        <v>0</v>
      </c>
      <c r="E54" t="s">
        <v>183</v>
      </c>
      <c r="F54" t="s">
        <v>27</v>
      </c>
      <c r="G54" s="1">
        <v>46069</v>
      </c>
      <c r="H54" s="1">
        <v>46114</v>
      </c>
      <c r="I54">
        <v>0</v>
      </c>
      <c r="J54">
        <v>47186504</v>
      </c>
      <c r="K54">
        <v>0</v>
      </c>
      <c r="L54">
        <v>0</v>
      </c>
      <c r="M54">
        <v>0</v>
      </c>
      <c r="N54">
        <v>1</v>
      </c>
      <c r="O54">
        <f t="shared" si="0"/>
        <v>47186504</v>
      </c>
      <c r="P54" t="s">
        <v>28</v>
      </c>
      <c r="Q54" t="s">
        <v>184</v>
      </c>
      <c r="R54" t="s">
        <v>185</v>
      </c>
      <c r="S54" t="s">
        <v>113</v>
      </c>
      <c r="T54" t="s">
        <v>186</v>
      </c>
      <c r="U54" t="s">
        <v>187</v>
      </c>
      <c r="V54" t="s">
        <v>188</v>
      </c>
      <c r="W54">
        <v>45</v>
      </c>
      <c r="X54" s="1">
        <v>46069.696894756984</v>
      </c>
    </row>
    <row r="55" spans="1:24" x14ac:dyDescent="0.2">
      <c r="A55" t="s">
        <v>203</v>
      </c>
      <c r="B55" t="s">
        <v>204</v>
      </c>
      <c r="C55" t="s">
        <v>25</v>
      </c>
      <c r="D55">
        <v>0</v>
      </c>
      <c r="E55" t="s">
        <v>183</v>
      </c>
      <c r="F55" t="s">
        <v>27</v>
      </c>
      <c r="G55" s="1">
        <v>46069</v>
      </c>
      <c r="H55" s="1">
        <v>46114</v>
      </c>
      <c r="I55">
        <v>0</v>
      </c>
      <c r="J55">
        <v>8225378</v>
      </c>
      <c r="K55">
        <v>0</v>
      </c>
      <c r="L55">
        <v>0</v>
      </c>
      <c r="M55">
        <v>0</v>
      </c>
      <c r="N55">
        <v>1</v>
      </c>
      <c r="O55">
        <f t="shared" si="0"/>
        <v>8225378</v>
      </c>
      <c r="P55" t="s">
        <v>28</v>
      </c>
      <c r="Q55" t="s">
        <v>184</v>
      </c>
      <c r="R55" t="s">
        <v>185</v>
      </c>
      <c r="S55" t="s">
        <v>113</v>
      </c>
      <c r="T55" t="s">
        <v>186</v>
      </c>
      <c r="U55" t="s">
        <v>187</v>
      </c>
      <c r="V55" t="s">
        <v>188</v>
      </c>
      <c r="W55">
        <v>45</v>
      </c>
      <c r="X55" s="1">
        <v>46069.698295798618</v>
      </c>
    </row>
    <row r="56" spans="1:24" x14ac:dyDescent="0.2">
      <c r="A56" t="s">
        <v>205</v>
      </c>
      <c r="B56" t="s">
        <v>206</v>
      </c>
      <c r="C56" t="s">
        <v>25</v>
      </c>
      <c r="D56">
        <v>0</v>
      </c>
      <c r="E56" t="s">
        <v>183</v>
      </c>
      <c r="F56" t="s">
        <v>27</v>
      </c>
      <c r="G56" s="1">
        <v>46077</v>
      </c>
      <c r="H56" s="1">
        <v>46122</v>
      </c>
      <c r="I56">
        <v>0</v>
      </c>
      <c r="J56">
        <v>29749640</v>
      </c>
      <c r="K56">
        <v>0</v>
      </c>
      <c r="L56">
        <v>0</v>
      </c>
      <c r="M56">
        <v>0</v>
      </c>
      <c r="N56">
        <v>1</v>
      </c>
      <c r="O56">
        <f t="shared" si="0"/>
        <v>29749640</v>
      </c>
      <c r="P56" t="s">
        <v>28</v>
      </c>
      <c r="Q56" t="s">
        <v>184</v>
      </c>
      <c r="R56" t="s">
        <v>185</v>
      </c>
      <c r="S56" t="s">
        <v>113</v>
      </c>
      <c r="T56" t="s">
        <v>186</v>
      </c>
      <c r="U56" t="s">
        <v>187</v>
      </c>
      <c r="V56" t="s">
        <v>188</v>
      </c>
      <c r="W56">
        <v>45</v>
      </c>
      <c r="X56" s="1">
        <v>46077.692447673529</v>
      </c>
    </row>
    <row r="57" spans="1:24" x14ac:dyDescent="0.2">
      <c r="A57" t="s">
        <v>207</v>
      </c>
      <c r="B57" t="s">
        <v>208</v>
      </c>
      <c r="C57" t="s">
        <v>25</v>
      </c>
      <c r="D57">
        <v>0</v>
      </c>
      <c r="E57" t="s">
        <v>183</v>
      </c>
      <c r="F57" t="s">
        <v>27</v>
      </c>
      <c r="G57" s="1">
        <v>46077</v>
      </c>
      <c r="H57" s="1">
        <v>46122</v>
      </c>
      <c r="I57">
        <v>0</v>
      </c>
      <c r="J57">
        <v>6660415</v>
      </c>
      <c r="K57">
        <v>0</v>
      </c>
      <c r="L57">
        <v>0</v>
      </c>
      <c r="M57">
        <v>0</v>
      </c>
      <c r="N57">
        <v>1</v>
      </c>
      <c r="O57">
        <f t="shared" si="0"/>
        <v>6660415</v>
      </c>
      <c r="P57" t="s">
        <v>28</v>
      </c>
      <c r="Q57" t="s">
        <v>184</v>
      </c>
      <c r="R57" t="s">
        <v>185</v>
      </c>
      <c r="S57" t="s">
        <v>113</v>
      </c>
      <c r="T57" t="s">
        <v>186</v>
      </c>
      <c r="U57" t="s">
        <v>187</v>
      </c>
      <c r="V57" t="s">
        <v>188</v>
      </c>
      <c r="W57">
        <v>45</v>
      </c>
      <c r="X57" s="1">
        <v>46077.693383055739</v>
      </c>
    </row>
    <row r="58" spans="1:24" x14ac:dyDescent="0.2">
      <c r="A58" t="s">
        <v>209</v>
      </c>
      <c r="B58" t="s">
        <v>210</v>
      </c>
      <c r="C58" t="s">
        <v>25</v>
      </c>
      <c r="D58">
        <v>0</v>
      </c>
      <c r="E58" t="s">
        <v>183</v>
      </c>
      <c r="F58" t="s">
        <v>27</v>
      </c>
      <c r="G58" s="1">
        <v>46077</v>
      </c>
      <c r="H58" s="1">
        <v>46122</v>
      </c>
      <c r="I58">
        <v>0</v>
      </c>
      <c r="J58">
        <v>5890187</v>
      </c>
      <c r="K58">
        <v>0</v>
      </c>
      <c r="L58">
        <v>0</v>
      </c>
      <c r="M58">
        <v>0</v>
      </c>
      <c r="N58">
        <v>1</v>
      </c>
      <c r="O58">
        <f t="shared" si="0"/>
        <v>5890187</v>
      </c>
      <c r="P58" t="s">
        <v>28</v>
      </c>
      <c r="Q58" t="s">
        <v>184</v>
      </c>
      <c r="R58" t="s">
        <v>185</v>
      </c>
      <c r="S58" t="s">
        <v>113</v>
      </c>
      <c r="T58" t="s">
        <v>186</v>
      </c>
      <c r="U58" t="s">
        <v>187</v>
      </c>
      <c r="V58" t="s">
        <v>188</v>
      </c>
      <c r="W58">
        <v>45</v>
      </c>
      <c r="X58" s="1">
        <v>46077.694440625142</v>
      </c>
    </row>
    <row r="59" spans="1:24" x14ac:dyDescent="0.2">
      <c r="A59" t="s">
        <v>211</v>
      </c>
      <c r="B59" t="s">
        <v>212</v>
      </c>
      <c r="C59" t="s">
        <v>25</v>
      </c>
      <c r="D59">
        <v>0</v>
      </c>
      <c r="E59" t="s">
        <v>183</v>
      </c>
      <c r="F59" t="s">
        <v>27</v>
      </c>
      <c r="G59" s="1">
        <v>46079</v>
      </c>
      <c r="H59" s="1">
        <v>46124</v>
      </c>
      <c r="I59">
        <v>0</v>
      </c>
      <c r="J59">
        <v>3501478</v>
      </c>
      <c r="K59">
        <v>0</v>
      </c>
      <c r="L59">
        <v>0</v>
      </c>
      <c r="M59">
        <v>0</v>
      </c>
      <c r="N59">
        <v>1</v>
      </c>
      <c r="O59">
        <f t="shared" si="0"/>
        <v>3501478</v>
      </c>
      <c r="P59" t="s">
        <v>28</v>
      </c>
      <c r="Q59" t="s">
        <v>184</v>
      </c>
      <c r="R59" t="s">
        <v>185</v>
      </c>
      <c r="S59" t="s">
        <v>113</v>
      </c>
      <c r="T59" t="s">
        <v>186</v>
      </c>
      <c r="U59" t="s">
        <v>187</v>
      </c>
      <c r="V59" t="s">
        <v>188</v>
      </c>
      <c r="W59">
        <v>45</v>
      </c>
      <c r="X59" s="1">
        <v>46079.331308553461</v>
      </c>
    </row>
    <row r="60" spans="1:24" x14ac:dyDescent="0.2">
      <c r="A60" t="s">
        <v>213</v>
      </c>
      <c r="B60" t="s">
        <v>214</v>
      </c>
      <c r="C60" t="s">
        <v>25</v>
      </c>
      <c r="D60">
        <v>0</v>
      </c>
      <c r="E60" t="s">
        <v>183</v>
      </c>
      <c r="F60" t="s">
        <v>27</v>
      </c>
      <c r="G60" s="1">
        <v>46079</v>
      </c>
      <c r="H60" s="1">
        <v>46124</v>
      </c>
      <c r="I60">
        <v>0</v>
      </c>
      <c r="J60">
        <v>5267015</v>
      </c>
      <c r="K60">
        <v>0</v>
      </c>
      <c r="L60">
        <v>0</v>
      </c>
      <c r="M60">
        <v>0</v>
      </c>
      <c r="N60">
        <v>1</v>
      </c>
      <c r="O60">
        <f t="shared" si="0"/>
        <v>5267015</v>
      </c>
      <c r="P60" t="s">
        <v>28</v>
      </c>
      <c r="Q60" t="s">
        <v>184</v>
      </c>
      <c r="R60" t="s">
        <v>185</v>
      </c>
      <c r="S60" t="s">
        <v>113</v>
      </c>
      <c r="T60" t="s">
        <v>186</v>
      </c>
      <c r="U60" t="s">
        <v>187</v>
      </c>
      <c r="V60" t="s">
        <v>188</v>
      </c>
      <c r="W60">
        <v>45</v>
      </c>
      <c r="X60" s="1">
        <v>46079.330183298793</v>
      </c>
    </row>
    <row r="61" spans="1:24" x14ac:dyDescent="0.2">
      <c r="A61" t="s">
        <v>215</v>
      </c>
      <c r="B61" t="s">
        <v>216</v>
      </c>
      <c r="C61" t="s">
        <v>25</v>
      </c>
      <c r="D61">
        <v>0</v>
      </c>
      <c r="E61" t="s">
        <v>183</v>
      </c>
      <c r="F61" t="s">
        <v>27</v>
      </c>
      <c r="G61" s="1">
        <v>46091</v>
      </c>
      <c r="H61" s="1">
        <v>46136</v>
      </c>
      <c r="I61">
        <v>186106</v>
      </c>
      <c r="J61">
        <v>0</v>
      </c>
      <c r="K61">
        <v>0</v>
      </c>
      <c r="L61">
        <v>0</v>
      </c>
      <c r="M61">
        <v>0</v>
      </c>
      <c r="N61">
        <v>0</v>
      </c>
      <c r="O61">
        <f t="shared" si="0"/>
        <v>186106</v>
      </c>
      <c r="P61" t="s">
        <v>28</v>
      </c>
      <c r="Q61" t="s">
        <v>184</v>
      </c>
      <c r="R61" t="s">
        <v>185</v>
      </c>
      <c r="S61" t="s">
        <v>113</v>
      </c>
      <c r="T61" t="s">
        <v>186</v>
      </c>
      <c r="U61" t="s">
        <v>187</v>
      </c>
      <c r="V61" t="s">
        <v>188</v>
      </c>
      <c r="W61">
        <v>45</v>
      </c>
      <c r="X61" s="1">
        <v>46091.701114467811</v>
      </c>
    </row>
    <row r="62" spans="1:24" x14ac:dyDescent="0.2">
      <c r="A62" t="s">
        <v>217</v>
      </c>
      <c r="B62" t="s">
        <v>218</v>
      </c>
      <c r="C62" t="s">
        <v>25</v>
      </c>
      <c r="D62">
        <v>0</v>
      </c>
      <c r="E62" t="s">
        <v>183</v>
      </c>
      <c r="F62" t="s">
        <v>27</v>
      </c>
      <c r="G62" s="1">
        <v>46093</v>
      </c>
      <c r="H62" s="1">
        <v>46138</v>
      </c>
      <c r="I62">
        <v>31690476</v>
      </c>
      <c r="J62">
        <v>0</v>
      </c>
      <c r="K62">
        <v>0</v>
      </c>
      <c r="L62">
        <v>0</v>
      </c>
      <c r="M62">
        <v>0</v>
      </c>
      <c r="N62">
        <v>0</v>
      </c>
      <c r="O62">
        <f t="shared" si="0"/>
        <v>31690476</v>
      </c>
      <c r="P62" t="s">
        <v>28</v>
      </c>
      <c r="Q62" t="s">
        <v>184</v>
      </c>
      <c r="R62" t="s">
        <v>185</v>
      </c>
      <c r="S62" t="s">
        <v>113</v>
      </c>
      <c r="T62" t="s">
        <v>186</v>
      </c>
      <c r="U62" t="s">
        <v>187</v>
      </c>
      <c r="V62" t="s">
        <v>188</v>
      </c>
      <c r="W62">
        <v>45</v>
      </c>
      <c r="X62" s="1">
        <v>46093.438571053091</v>
      </c>
    </row>
    <row r="63" spans="1:24" x14ac:dyDescent="0.2">
      <c r="A63" t="s">
        <v>219</v>
      </c>
      <c r="B63" t="s">
        <v>220</v>
      </c>
      <c r="C63" t="s">
        <v>25</v>
      </c>
      <c r="D63">
        <v>0</v>
      </c>
      <c r="E63" t="s">
        <v>183</v>
      </c>
      <c r="F63" t="s">
        <v>27</v>
      </c>
      <c r="G63" s="1">
        <v>46093</v>
      </c>
      <c r="H63" s="1">
        <v>46138</v>
      </c>
      <c r="I63">
        <v>2443308</v>
      </c>
      <c r="J63">
        <v>0</v>
      </c>
      <c r="K63">
        <v>0</v>
      </c>
      <c r="L63">
        <v>0</v>
      </c>
      <c r="M63">
        <v>0</v>
      </c>
      <c r="N63">
        <v>0</v>
      </c>
      <c r="O63">
        <f t="shared" si="0"/>
        <v>2443308</v>
      </c>
      <c r="P63" t="s">
        <v>28</v>
      </c>
      <c r="Q63" t="s">
        <v>184</v>
      </c>
      <c r="R63" t="s">
        <v>185</v>
      </c>
      <c r="S63" t="s">
        <v>113</v>
      </c>
      <c r="T63" t="s">
        <v>186</v>
      </c>
      <c r="U63" t="s">
        <v>187</v>
      </c>
      <c r="V63" t="s">
        <v>188</v>
      </c>
      <c r="W63">
        <v>45</v>
      </c>
      <c r="X63" s="1">
        <v>46093.439788877498</v>
      </c>
    </row>
    <row r="64" spans="1:24" x14ac:dyDescent="0.2">
      <c r="A64" t="s">
        <v>221</v>
      </c>
      <c r="B64" t="s">
        <v>222</v>
      </c>
      <c r="C64" t="s">
        <v>25</v>
      </c>
      <c r="D64">
        <v>0</v>
      </c>
      <c r="E64" t="s">
        <v>223</v>
      </c>
      <c r="F64" t="s">
        <v>27</v>
      </c>
      <c r="G64" s="1">
        <v>46087</v>
      </c>
      <c r="H64" s="1">
        <v>46087</v>
      </c>
      <c r="I64">
        <v>1339260</v>
      </c>
      <c r="J64">
        <v>0</v>
      </c>
      <c r="K64">
        <v>0</v>
      </c>
      <c r="L64">
        <v>0</v>
      </c>
      <c r="M64">
        <v>1</v>
      </c>
      <c r="N64">
        <v>0</v>
      </c>
      <c r="O64">
        <f t="shared" si="0"/>
        <v>1339260</v>
      </c>
      <c r="P64" t="s">
        <v>28</v>
      </c>
      <c r="Q64" t="s">
        <v>224</v>
      </c>
      <c r="R64" t="s">
        <v>225</v>
      </c>
      <c r="S64" t="s">
        <v>226</v>
      </c>
      <c r="T64" t="s">
        <v>227</v>
      </c>
      <c r="U64" t="s">
        <v>228</v>
      </c>
      <c r="V64" t="s">
        <v>32</v>
      </c>
      <c r="W64">
        <v>0</v>
      </c>
      <c r="X64" s="1">
        <v>46087.414579884149</v>
      </c>
    </row>
    <row r="65" spans="1:24" x14ac:dyDescent="0.2">
      <c r="A65" t="s">
        <v>229</v>
      </c>
      <c r="B65" t="s">
        <v>230</v>
      </c>
      <c r="C65" t="s">
        <v>25</v>
      </c>
      <c r="D65">
        <v>0</v>
      </c>
      <c r="E65" t="s">
        <v>223</v>
      </c>
      <c r="F65" t="s">
        <v>27</v>
      </c>
      <c r="G65" s="1">
        <v>46088</v>
      </c>
      <c r="H65" s="1">
        <v>46119</v>
      </c>
      <c r="I65">
        <v>1233530</v>
      </c>
      <c r="J65">
        <v>0</v>
      </c>
      <c r="K65">
        <v>0</v>
      </c>
      <c r="L65">
        <v>0</v>
      </c>
      <c r="M65">
        <v>1</v>
      </c>
      <c r="N65">
        <v>0</v>
      </c>
      <c r="O65">
        <f t="shared" si="0"/>
        <v>1233530</v>
      </c>
      <c r="P65" t="s">
        <v>28</v>
      </c>
      <c r="Q65" t="s">
        <v>224</v>
      </c>
      <c r="R65" t="s">
        <v>225</v>
      </c>
      <c r="S65" t="s">
        <v>226</v>
      </c>
      <c r="T65" t="s">
        <v>227</v>
      </c>
      <c r="U65" t="s">
        <v>228</v>
      </c>
      <c r="V65" t="s">
        <v>32</v>
      </c>
      <c r="W65">
        <v>0</v>
      </c>
      <c r="X65" s="1">
        <v>46098.488333321642</v>
      </c>
    </row>
    <row r="66" spans="1:24" x14ac:dyDescent="0.2">
      <c r="A66" t="s">
        <v>231</v>
      </c>
      <c r="B66" t="s">
        <v>232</v>
      </c>
      <c r="C66" t="s">
        <v>25</v>
      </c>
      <c r="D66">
        <v>0</v>
      </c>
      <c r="E66" t="s">
        <v>233</v>
      </c>
      <c r="F66" t="s">
        <v>27</v>
      </c>
      <c r="G66" s="1">
        <v>46072</v>
      </c>
      <c r="H66" s="1">
        <v>46102</v>
      </c>
      <c r="I66">
        <v>0</v>
      </c>
      <c r="J66">
        <v>15089876</v>
      </c>
      <c r="K66">
        <v>0</v>
      </c>
      <c r="L66">
        <v>0</v>
      </c>
      <c r="M66">
        <v>0</v>
      </c>
      <c r="N66">
        <v>1</v>
      </c>
      <c r="O66">
        <f t="shared" si="0"/>
        <v>15089876</v>
      </c>
      <c r="P66" t="s">
        <v>28</v>
      </c>
      <c r="Q66" t="s">
        <v>234</v>
      </c>
      <c r="R66" t="s">
        <v>235</v>
      </c>
      <c r="S66" t="s">
        <v>32</v>
      </c>
      <c r="T66" t="s">
        <v>32</v>
      </c>
      <c r="U66" t="s">
        <v>236</v>
      </c>
      <c r="V66" t="s">
        <v>32</v>
      </c>
      <c r="W66">
        <v>30</v>
      </c>
      <c r="X66" s="1">
        <v>46072.323583634105</v>
      </c>
    </row>
    <row r="67" spans="1:24" x14ac:dyDescent="0.2">
      <c r="A67" t="s">
        <v>237</v>
      </c>
      <c r="B67" t="s">
        <v>238</v>
      </c>
      <c r="C67" t="s">
        <v>25</v>
      </c>
      <c r="D67">
        <v>0</v>
      </c>
      <c r="E67" t="s">
        <v>239</v>
      </c>
      <c r="F67" t="s">
        <v>27</v>
      </c>
      <c r="G67" s="1">
        <v>46059</v>
      </c>
      <c r="H67" s="1">
        <v>46089</v>
      </c>
      <c r="I67">
        <v>0</v>
      </c>
      <c r="J67">
        <v>24945484</v>
      </c>
      <c r="K67">
        <v>0</v>
      </c>
      <c r="L67">
        <v>0</v>
      </c>
      <c r="M67">
        <v>0</v>
      </c>
      <c r="N67">
        <v>1</v>
      </c>
      <c r="O67">
        <f t="shared" si="0"/>
        <v>24945484</v>
      </c>
      <c r="P67" t="s">
        <v>28</v>
      </c>
      <c r="Q67" t="s">
        <v>240</v>
      </c>
      <c r="R67" t="s">
        <v>241</v>
      </c>
      <c r="S67" t="s">
        <v>32</v>
      </c>
      <c r="T67" t="s">
        <v>32</v>
      </c>
      <c r="U67" t="s">
        <v>242</v>
      </c>
      <c r="V67" t="s">
        <v>32</v>
      </c>
      <c r="W67">
        <v>30</v>
      </c>
      <c r="X67" s="1">
        <v>46059.479858402628</v>
      </c>
    </row>
    <row r="68" spans="1:24" x14ac:dyDescent="0.2">
      <c r="A68" t="s">
        <v>243</v>
      </c>
      <c r="B68" t="s">
        <v>244</v>
      </c>
      <c r="C68" t="s">
        <v>25</v>
      </c>
      <c r="D68">
        <v>0</v>
      </c>
      <c r="E68" t="s">
        <v>239</v>
      </c>
      <c r="F68" t="s">
        <v>27</v>
      </c>
      <c r="G68" s="1">
        <v>46059</v>
      </c>
      <c r="H68" s="1">
        <v>46089</v>
      </c>
      <c r="I68">
        <v>0</v>
      </c>
      <c r="J68">
        <v>61251504</v>
      </c>
      <c r="K68">
        <v>0</v>
      </c>
      <c r="L68">
        <v>0</v>
      </c>
      <c r="M68">
        <v>0</v>
      </c>
      <c r="N68">
        <v>1</v>
      </c>
      <c r="O68">
        <f t="shared" ref="O68:O131" si="1">+J68+I68-K68+L68</f>
        <v>61251504</v>
      </c>
      <c r="P68" t="s">
        <v>28</v>
      </c>
      <c r="Q68" t="s">
        <v>240</v>
      </c>
      <c r="R68" t="s">
        <v>241</v>
      </c>
      <c r="S68" t="s">
        <v>32</v>
      </c>
      <c r="T68" t="s">
        <v>32</v>
      </c>
      <c r="U68" t="s">
        <v>242</v>
      </c>
      <c r="V68" t="s">
        <v>32</v>
      </c>
      <c r="W68">
        <v>30</v>
      </c>
      <c r="X68" s="1">
        <v>46059.481316735968</v>
      </c>
    </row>
    <row r="69" spans="1:24" x14ac:dyDescent="0.2">
      <c r="A69" t="s">
        <v>245</v>
      </c>
      <c r="B69" t="s">
        <v>246</v>
      </c>
      <c r="C69" t="s">
        <v>25</v>
      </c>
      <c r="D69">
        <v>0</v>
      </c>
      <c r="E69" t="s">
        <v>239</v>
      </c>
      <c r="F69" t="s">
        <v>27</v>
      </c>
      <c r="G69" s="1">
        <v>46059</v>
      </c>
      <c r="H69" s="1">
        <v>46089</v>
      </c>
      <c r="I69">
        <v>0</v>
      </c>
      <c r="J69">
        <v>31069518</v>
      </c>
      <c r="K69">
        <v>0</v>
      </c>
      <c r="L69">
        <v>0</v>
      </c>
      <c r="M69">
        <v>0</v>
      </c>
      <c r="N69">
        <v>1</v>
      </c>
      <c r="O69">
        <f t="shared" si="1"/>
        <v>31069518</v>
      </c>
      <c r="P69" t="s">
        <v>28</v>
      </c>
      <c r="Q69" t="s">
        <v>240</v>
      </c>
      <c r="R69" t="s">
        <v>241</v>
      </c>
      <c r="S69" t="s">
        <v>32</v>
      </c>
      <c r="T69" t="s">
        <v>32</v>
      </c>
      <c r="U69" t="s">
        <v>242</v>
      </c>
      <c r="V69" t="s">
        <v>32</v>
      </c>
      <c r="W69">
        <v>30</v>
      </c>
      <c r="X69" s="1">
        <v>46059.483411365654</v>
      </c>
    </row>
    <row r="70" spans="1:24" x14ac:dyDescent="0.2">
      <c r="A70" t="s">
        <v>247</v>
      </c>
      <c r="B70" t="s">
        <v>248</v>
      </c>
      <c r="C70" t="s">
        <v>25</v>
      </c>
      <c r="D70">
        <v>0</v>
      </c>
      <c r="E70" t="s">
        <v>239</v>
      </c>
      <c r="F70" t="s">
        <v>27</v>
      </c>
      <c r="G70" s="1">
        <v>46059</v>
      </c>
      <c r="H70" s="1">
        <v>46089</v>
      </c>
      <c r="I70">
        <v>0</v>
      </c>
      <c r="J70">
        <v>59078483</v>
      </c>
      <c r="K70">
        <v>0</v>
      </c>
      <c r="L70">
        <v>0</v>
      </c>
      <c r="M70">
        <v>0</v>
      </c>
      <c r="N70">
        <v>1</v>
      </c>
      <c r="O70">
        <f t="shared" si="1"/>
        <v>59078483</v>
      </c>
      <c r="P70" t="s">
        <v>28</v>
      </c>
      <c r="Q70" t="s">
        <v>240</v>
      </c>
      <c r="R70" t="s">
        <v>241</v>
      </c>
      <c r="S70" t="s">
        <v>32</v>
      </c>
      <c r="T70" t="s">
        <v>32</v>
      </c>
      <c r="U70" t="s">
        <v>242</v>
      </c>
      <c r="V70" t="s">
        <v>32</v>
      </c>
      <c r="W70">
        <v>30</v>
      </c>
      <c r="X70" s="1">
        <v>46059.702219513711</v>
      </c>
    </row>
    <row r="71" spans="1:24" x14ac:dyDescent="0.2">
      <c r="A71" t="s">
        <v>249</v>
      </c>
      <c r="B71" t="s">
        <v>250</v>
      </c>
      <c r="C71" t="s">
        <v>25</v>
      </c>
      <c r="D71">
        <v>0</v>
      </c>
      <c r="E71" t="s">
        <v>239</v>
      </c>
      <c r="F71" t="s">
        <v>27</v>
      </c>
      <c r="G71" s="1">
        <v>46059</v>
      </c>
      <c r="H71" s="1">
        <v>46089</v>
      </c>
      <c r="I71">
        <v>0</v>
      </c>
      <c r="J71">
        <v>45277082</v>
      </c>
      <c r="K71">
        <v>0</v>
      </c>
      <c r="L71">
        <v>0</v>
      </c>
      <c r="M71">
        <v>0</v>
      </c>
      <c r="N71">
        <v>1</v>
      </c>
      <c r="O71">
        <f t="shared" si="1"/>
        <v>45277082</v>
      </c>
      <c r="P71" t="s">
        <v>28</v>
      </c>
      <c r="Q71" t="s">
        <v>240</v>
      </c>
      <c r="R71" t="s">
        <v>241</v>
      </c>
      <c r="S71" t="s">
        <v>32</v>
      </c>
      <c r="T71" t="s">
        <v>32</v>
      </c>
      <c r="U71" t="s">
        <v>242</v>
      </c>
      <c r="V71" t="s">
        <v>32</v>
      </c>
      <c r="W71">
        <v>30</v>
      </c>
      <c r="X71" s="1">
        <v>46059.703408055473</v>
      </c>
    </row>
    <row r="72" spans="1:24" x14ac:dyDescent="0.2">
      <c r="A72" t="s">
        <v>251</v>
      </c>
      <c r="B72" t="s">
        <v>252</v>
      </c>
      <c r="C72" t="s">
        <v>25</v>
      </c>
      <c r="D72">
        <v>0</v>
      </c>
      <c r="E72" t="s">
        <v>239</v>
      </c>
      <c r="F72" t="s">
        <v>27</v>
      </c>
      <c r="G72" s="1">
        <v>46069</v>
      </c>
      <c r="H72" s="1">
        <v>46099</v>
      </c>
      <c r="I72">
        <v>0</v>
      </c>
      <c r="J72">
        <v>17386089</v>
      </c>
      <c r="K72">
        <v>0</v>
      </c>
      <c r="L72">
        <v>0</v>
      </c>
      <c r="M72">
        <v>0</v>
      </c>
      <c r="N72">
        <v>1</v>
      </c>
      <c r="O72">
        <f t="shared" si="1"/>
        <v>17386089</v>
      </c>
      <c r="P72" t="s">
        <v>28</v>
      </c>
      <c r="Q72" t="s">
        <v>240</v>
      </c>
      <c r="R72" t="s">
        <v>241</v>
      </c>
      <c r="S72" t="s">
        <v>32</v>
      </c>
      <c r="T72" t="s">
        <v>32</v>
      </c>
      <c r="U72" t="s">
        <v>242</v>
      </c>
      <c r="V72" t="s">
        <v>32</v>
      </c>
      <c r="W72">
        <v>30</v>
      </c>
      <c r="X72" s="1">
        <v>46069.650097187608</v>
      </c>
    </row>
    <row r="73" spans="1:24" x14ac:dyDescent="0.2">
      <c r="A73" t="s">
        <v>253</v>
      </c>
      <c r="B73" t="s">
        <v>254</v>
      </c>
      <c r="C73" t="s">
        <v>25</v>
      </c>
      <c r="D73">
        <v>0</v>
      </c>
      <c r="E73" t="s">
        <v>239</v>
      </c>
      <c r="F73" t="s">
        <v>27</v>
      </c>
      <c r="G73" s="1">
        <v>46069</v>
      </c>
      <c r="H73" s="1">
        <v>46099</v>
      </c>
      <c r="I73">
        <v>0</v>
      </c>
      <c r="J73">
        <v>15092361</v>
      </c>
      <c r="K73">
        <v>0</v>
      </c>
      <c r="L73">
        <v>0</v>
      </c>
      <c r="M73">
        <v>0</v>
      </c>
      <c r="N73">
        <v>1</v>
      </c>
      <c r="O73">
        <f t="shared" si="1"/>
        <v>15092361</v>
      </c>
      <c r="P73" t="s">
        <v>28</v>
      </c>
      <c r="Q73" t="s">
        <v>240</v>
      </c>
      <c r="R73" t="s">
        <v>241</v>
      </c>
      <c r="S73" t="s">
        <v>32</v>
      </c>
      <c r="T73" t="s">
        <v>32</v>
      </c>
      <c r="U73" t="s">
        <v>242</v>
      </c>
      <c r="V73" t="s">
        <v>32</v>
      </c>
      <c r="W73">
        <v>30</v>
      </c>
      <c r="X73" s="1">
        <v>46069.650828472339</v>
      </c>
    </row>
    <row r="74" spans="1:24" x14ac:dyDescent="0.2">
      <c r="A74" t="s">
        <v>255</v>
      </c>
      <c r="B74" t="s">
        <v>256</v>
      </c>
      <c r="C74" t="s">
        <v>25</v>
      </c>
      <c r="D74">
        <v>0</v>
      </c>
      <c r="E74" t="s">
        <v>239</v>
      </c>
      <c r="F74" t="s">
        <v>27</v>
      </c>
      <c r="G74" s="1">
        <v>46069</v>
      </c>
      <c r="H74" s="1">
        <v>46099</v>
      </c>
      <c r="I74">
        <v>0</v>
      </c>
      <c r="J74">
        <v>14761537</v>
      </c>
      <c r="K74">
        <v>0</v>
      </c>
      <c r="L74">
        <v>0</v>
      </c>
      <c r="M74">
        <v>0</v>
      </c>
      <c r="N74">
        <v>1</v>
      </c>
      <c r="O74">
        <f t="shared" si="1"/>
        <v>14761537</v>
      </c>
      <c r="P74" t="s">
        <v>28</v>
      </c>
      <c r="Q74" t="s">
        <v>240</v>
      </c>
      <c r="R74" t="s">
        <v>241</v>
      </c>
      <c r="S74" t="s">
        <v>32</v>
      </c>
      <c r="T74" t="s">
        <v>32</v>
      </c>
      <c r="U74" t="s">
        <v>242</v>
      </c>
      <c r="V74" t="s">
        <v>32</v>
      </c>
      <c r="W74">
        <v>30</v>
      </c>
      <c r="X74" s="1">
        <v>46069.651723402552</v>
      </c>
    </row>
    <row r="75" spans="1:24" x14ac:dyDescent="0.2">
      <c r="A75" t="s">
        <v>257</v>
      </c>
      <c r="B75" t="s">
        <v>258</v>
      </c>
      <c r="C75" t="s">
        <v>25</v>
      </c>
      <c r="D75">
        <v>0</v>
      </c>
      <c r="E75" t="s">
        <v>239</v>
      </c>
      <c r="F75" t="s">
        <v>27</v>
      </c>
      <c r="G75" s="1">
        <v>46069</v>
      </c>
      <c r="H75" s="1">
        <v>46099</v>
      </c>
      <c r="I75">
        <v>0</v>
      </c>
      <c r="J75">
        <v>22442712</v>
      </c>
      <c r="K75">
        <v>0</v>
      </c>
      <c r="L75">
        <v>0</v>
      </c>
      <c r="M75">
        <v>0</v>
      </c>
      <c r="N75">
        <v>1</v>
      </c>
      <c r="O75">
        <f t="shared" si="1"/>
        <v>22442712</v>
      </c>
      <c r="P75" t="s">
        <v>28</v>
      </c>
      <c r="Q75" t="s">
        <v>240</v>
      </c>
      <c r="R75" t="s">
        <v>241</v>
      </c>
      <c r="S75" t="s">
        <v>32</v>
      </c>
      <c r="T75" t="s">
        <v>32</v>
      </c>
      <c r="U75" t="s">
        <v>242</v>
      </c>
      <c r="V75" t="s">
        <v>32</v>
      </c>
      <c r="W75">
        <v>30</v>
      </c>
      <c r="X75" s="1">
        <v>46069.652848877478</v>
      </c>
    </row>
    <row r="76" spans="1:24" x14ac:dyDescent="0.2">
      <c r="A76" t="s">
        <v>259</v>
      </c>
      <c r="B76" t="s">
        <v>260</v>
      </c>
      <c r="C76" t="s">
        <v>25</v>
      </c>
      <c r="D76">
        <v>0</v>
      </c>
      <c r="E76" t="s">
        <v>239</v>
      </c>
      <c r="F76" t="s">
        <v>27</v>
      </c>
      <c r="G76" s="1">
        <v>46069</v>
      </c>
      <c r="H76" s="1">
        <v>46099</v>
      </c>
      <c r="I76">
        <v>0</v>
      </c>
      <c r="J76">
        <v>61706852</v>
      </c>
      <c r="K76">
        <v>0</v>
      </c>
      <c r="L76">
        <v>0</v>
      </c>
      <c r="M76">
        <v>0</v>
      </c>
      <c r="N76">
        <v>1</v>
      </c>
      <c r="O76">
        <f t="shared" si="1"/>
        <v>61706852</v>
      </c>
      <c r="P76" t="s">
        <v>28</v>
      </c>
      <c r="Q76" t="s">
        <v>240</v>
      </c>
      <c r="R76" t="s">
        <v>241</v>
      </c>
      <c r="S76" t="s">
        <v>32</v>
      </c>
      <c r="T76" t="s">
        <v>32</v>
      </c>
      <c r="U76" t="s">
        <v>242</v>
      </c>
      <c r="V76" t="s">
        <v>32</v>
      </c>
      <c r="W76">
        <v>30</v>
      </c>
      <c r="X76" s="1">
        <v>46069.654222129844</v>
      </c>
    </row>
    <row r="77" spans="1:24" x14ac:dyDescent="0.2">
      <c r="A77" t="s">
        <v>261</v>
      </c>
      <c r="B77" t="s">
        <v>262</v>
      </c>
      <c r="C77" t="s">
        <v>25</v>
      </c>
      <c r="D77">
        <v>0</v>
      </c>
      <c r="E77" t="s">
        <v>239</v>
      </c>
      <c r="F77" t="s">
        <v>27</v>
      </c>
      <c r="G77" s="1">
        <v>46078</v>
      </c>
      <c r="H77" s="1">
        <v>46108</v>
      </c>
      <c r="I77">
        <v>0</v>
      </c>
      <c r="J77">
        <v>80702713</v>
      </c>
      <c r="K77">
        <v>0</v>
      </c>
      <c r="L77">
        <v>0</v>
      </c>
      <c r="M77">
        <v>0</v>
      </c>
      <c r="N77">
        <v>1</v>
      </c>
      <c r="O77">
        <f t="shared" si="1"/>
        <v>80702713</v>
      </c>
      <c r="P77" t="s">
        <v>28</v>
      </c>
      <c r="Q77" t="s">
        <v>240</v>
      </c>
      <c r="R77" t="s">
        <v>241</v>
      </c>
      <c r="S77" t="s">
        <v>32</v>
      </c>
      <c r="T77" t="s">
        <v>32</v>
      </c>
      <c r="U77" t="s">
        <v>242</v>
      </c>
      <c r="V77" t="s">
        <v>32</v>
      </c>
      <c r="W77">
        <v>30</v>
      </c>
      <c r="X77" s="1">
        <v>46078.633594976738</v>
      </c>
    </row>
    <row r="78" spans="1:24" x14ac:dyDescent="0.2">
      <c r="A78" t="s">
        <v>263</v>
      </c>
      <c r="B78" t="s">
        <v>264</v>
      </c>
      <c r="C78" t="s">
        <v>25</v>
      </c>
      <c r="D78">
        <v>0</v>
      </c>
      <c r="E78" t="s">
        <v>239</v>
      </c>
      <c r="F78" t="s">
        <v>27</v>
      </c>
      <c r="G78" s="1">
        <v>46081</v>
      </c>
      <c r="H78" s="1">
        <v>46111</v>
      </c>
      <c r="I78">
        <v>0</v>
      </c>
      <c r="J78">
        <v>11619232</v>
      </c>
      <c r="K78">
        <v>0</v>
      </c>
      <c r="L78">
        <v>0</v>
      </c>
      <c r="M78">
        <v>0</v>
      </c>
      <c r="N78">
        <v>1</v>
      </c>
      <c r="O78">
        <f t="shared" si="1"/>
        <v>11619232</v>
      </c>
      <c r="P78" t="s">
        <v>28</v>
      </c>
      <c r="Q78" t="s">
        <v>240</v>
      </c>
      <c r="R78" t="s">
        <v>241</v>
      </c>
      <c r="S78" t="s">
        <v>32</v>
      </c>
      <c r="T78" t="s">
        <v>32</v>
      </c>
      <c r="U78" t="s">
        <v>242</v>
      </c>
      <c r="V78" t="s">
        <v>32</v>
      </c>
      <c r="W78">
        <v>30</v>
      </c>
      <c r="X78" s="1">
        <v>46081.621704583522</v>
      </c>
    </row>
    <row r="79" spans="1:24" x14ac:dyDescent="0.2">
      <c r="A79" t="s">
        <v>265</v>
      </c>
      <c r="B79" t="s">
        <v>266</v>
      </c>
      <c r="C79" t="s">
        <v>25</v>
      </c>
      <c r="D79">
        <v>0</v>
      </c>
      <c r="E79" t="s">
        <v>239</v>
      </c>
      <c r="F79" t="s">
        <v>27</v>
      </c>
      <c r="G79" s="1">
        <v>46081</v>
      </c>
      <c r="H79" s="1">
        <v>46111</v>
      </c>
      <c r="I79">
        <v>0</v>
      </c>
      <c r="J79">
        <v>3429640</v>
      </c>
      <c r="K79">
        <v>0</v>
      </c>
      <c r="L79">
        <v>0</v>
      </c>
      <c r="M79">
        <v>0</v>
      </c>
      <c r="N79">
        <v>1</v>
      </c>
      <c r="O79">
        <f t="shared" si="1"/>
        <v>3429640</v>
      </c>
      <c r="P79" t="s">
        <v>28</v>
      </c>
      <c r="Q79" t="s">
        <v>240</v>
      </c>
      <c r="R79" t="s">
        <v>241</v>
      </c>
      <c r="S79" t="s">
        <v>32</v>
      </c>
      <c r="T79" t="s">
        <v>32</v>
      </c>
      <c r="U79" t="s">
        <v>242</v>
      </c>
      <c r="V79" t="s">
        <v>32</v>
      </c>
      <c r="W79">
        <v>30</v>
      </c>
      <c r="X79" s="1">
        <v>46081.622849641368</v>
      </c>
    </row>
    <row r="80" spans="1:24" x14ac:dyDescent="0.2">
      <c r="A80" t="s">
        <v>267</v>
      </c>
      <c r="B80" t="s">
        <v>268</v>
      </c>
      <c r="C80" t="s">
        <v>25</v>
      </c>
      <c r="D80">
        <v>0</v>
      </c>
      <c r="E80" t="s">
        <v>239</v>
      </c>
      <c r="F80" t="s">
        <v>27</v>
      </c>
      <c r="G80" s="1">
        <v>46086</v>
      </c>
      <c r="H80" s="1">
        <v>46116</v>
      </c>
      <c r="I80">
        <v>45277082</v>
      </c>
      <c r="J80">
        <v>0</v>
      </c>
      <c r="K80">
        <v>0</v>
      </c>
      <c r="L80">
        <v>0</v>
      </c>
      <c r="M80">
        <v>0</v>
      </c>
      <c r="N80">
        <v>0</v>
      </c>
      <c r="O80">
        <f t="shared" si="1"/>
        <v>45277082</v>
      </c>
      <c r="P80" t="s">
        <v>28</v>
      </c>
      <c r="Q80" t="s">
        <v>240</v>
      </c>
      <c r="R80" t="s">
        <v>241</v>
      </c>
      <c r="S80" t="s">
        <v>32</v>
      </c>
      <c r="T80" t="s">
        <v>32</v>
      </c>
      <c r="U80" t="s">
        <v>242</v>
      </c>
      <c r="V80" t="s">
        <v>32</v>
      </c>
      <c r="W80">
        <v>30</v>
      </c>
      <c r="X80" s="1">
        <v>46086.635543669108</v>
      </c>
    </row>
    <row r="81" spans="1:24" x14ac:dyDescent="0.2">
      <c r="A81" t="s">
        <v>269</v>
      </c>
      <c r="B81" t="s">
        <v>270</v>
      </c>
      <c r="C81" t="s">
        <v>25</v>
      </c>
      <c r="D81">
        <v>0</v>
      </c>
      <c r="E81" t="s">
        <v>239</v>
      </c>
      <c r="F81" t="s">
        <v>27</v>
      </c>
      <c r="G81" s="1">
        <v>46086</v>
      </c>
      <c r="H81" s="1">
        <v>46116</v>
      </c>
      <c r="I81">
        <v>35286029</v>
      </c>
      <c r="J81">
        <v>0</v>
      </c>
      <c r="K81">
        <v>0</v>
      </c>
      <c r="L81">
        <v>0</v>
      </c>
      <c r="M81">
        <v>0</v>
      </c>
      <c r="N81">
        <v>0</v>
      </c>
      <c r="O81">
        <f t="shared" si="1"/>
        <v>35286029</v>
      </c>
      <c r="P81" t="s">
        <v>28</v>
      </c>
      <c r="Q81" t="s">
        <v>240</v>
      </c>
      <c r="R81" t="s">
        <v>241</v>
      </c>
      <c r="S81" t="s">
        <v>32</v>
      </c>
      <c r="T81" t="s">
        <v>32</v>
      </c>
      <c r="U81" t="s">
        <v>242</v>
      </c>
      <c r="V81" t="s">
        <v>32</v>
      </c>
      <c r="W81">
        <v>30</v>
      </c>
      <c r="X81" s="1">
        <v>46086.63655960653</v>
      </c>
    </row>
    <row r="82" spans="1:24" x14ac:dyDescent="0.2">
      <c r="A82" t="s">
        <v>271</v>
      </c>
      <c r="B82" t="s">
        <v>272</v>
      </c>
      <c r="C82" t="s">
        <v>25</v>
      </c>
      <c r="D82">
        <v>0</v>
      </c>
      <c r="E82" t="s">
        <v>239</v>
      </c>
      <c r="F82" t="s">
        <v>27</v>
      </c>
      <c r="G82" s="1">
        <v>46086</v>
      </c>
      <c r="H82" s="1">
        <v>46116</v>
      </c>
      <c r="I82">
        <v>47303394</v>
      </c>
      <c r="J82">
        <v>0</v>
      </c>
      <c r="K82">
        <v>0</v>
      </c>
      <c r="L82">
        <v>0</v>
      </c>
      <c r="M82">
        <v>0</v>
      </c>
      <c r="N82">
        <v>0</v>
      </c>
      <c r="O82">
        <f t="shared" si="1"/>
        <v>47303394</v>
      </c>
      <c r="P82" t="s">
        <v>28</v>
      </c>
      <c r="Q82" t="s">
        <v>240</v>
      </c>
      <c r="R82" t="s">
        <v>241</v>
      </c>
      <c r="S82" t="s">
        <v>32</v>
      </c>
      <c r="T82" t="s">
        <v>32</v>
      </c>
      <c r="U82" t="s">
        <v>242</v>
      </c>
      <c r="V82" t="s">
        <v>32</v>
      </c>
      <c r="W82">
        <v>30</v>
      </c>
      <c r="X82" s="1">
        <v>46086.638246146031</v>
      </c>
    </row>
    <row r="83" spans="1:24" x14ac:dyDescent="0.2">
      <c r="A83" t="s">
        <v>273</v>
      </c>
      <c r="B83" t="s">
        <v>274</v>
      </c>
      <c r="C83" t="s">
        <v>25</v>
      </c>
      <c r="D83">
        <v>0</v>
      </c>
      <c r="E83" t="s">
        <v>239</v>
      </c>
      <c r="F83" t="s">
        <v>27</v>
      </c>
      <c r="G83" s="1">
        <v>46092</v>
      </c>
      <c r="H83" s="1">
        <v>46122</v>
      </c>
      <c r="I83">
        <v>5316990</v>
      </c>
      <c r="J83">
        <v>0</v>
      </c>
      <c r="K83">
        <v>0</v>
      </c>
      <c r="L83">
        <v>0</v>
      </c>
      <c r="M83">
        <v>0</v>
      </c>
      <c r="N83">
        <v>0</v>
      </c>
      <c r="O83">
        <f t="shared" si="1"/>
        <v>5316990</v>
      </c>
      <c r="P83" t="s">
        <v>28</v>
      </c>
      <c r="Q83" t="s">
        <v>240</v>
      </c>
      <c r="R83" t="s">
        <v>241</v>
      </c>
      <c r="S83" t="s">
        <v>32</v>
      </c>
      <c r="T83" t="s">
        <v>32</v>
      </c>
      <c r="U83" t="s">
        <v>242</v>
      </c>
      <c r="V83" t="s">
        <v>32</v>
      </c>
      <c r="W83">
        <v>30</v>
      </c>
      <c r="X83" s="1">
        <v>46092.383136909921</v>
      </c>
    </row>
    <row r="84" spans="1:24" x14ac:dyDescent="0.2">
      <c r="A84" t="s">
        <v>275</v>
      </c>
      <c r="B84" t="s">
        <v>276</v>
      </c>
      <c r="C84" t="s">
        <v>25</v>
      </c>
      <c r="D84">
        <v>0</v>
      </c>
      <c r="E84" t="s">
        <v>239</v>
      </c>
      <c r="F84" t="s">
        <v>27</v>
      </c>
      <c r="G84" s="1">
        <v>46092</v>
      </c>
      <c r="H84" s="1">
        <v>46122</v>
      </c>
      <c r="I84">
        <v>18266742</v>
      </c>
      <c r="J84">
        <v>0</v>
      </c>
      <c r="K84">
        <v>0</v>
      </c>
      <c r="L84">
        <v>0</v>
      </c>
      <c r="M84">
        <v>0</v>
      </c>
      <c r="N84">
        <v>0</v>
      </c>
      <c r="O84">
        <f t="shared" si="1"/>
        <v>18266742</v>
      </c>
      <c r="P84" t="s">
        <v>28</v>
      </c>
      <c r="Q84" t="s">
        <v>240</v>
      </c>
      <c r="R84" t="s">
        <v>241</v>
      </c>
      <c r="S84" t="s">
        <v>32</v>
      </c>
      <c r="T84" t="s">
        <v>32</v>
      </c>
      <c r="U84" t="s">
        <v>242</v>
      </c>
      <c r="V84" t="s">
        <v>32</v>
      </c>
      <c r="W84">
        <v>30</v>
      </c>
      <c r="X84" s="1">
        <v>46092.440860521048</v>
      </c>
    </row>
    <row r="85" spans="1:24" x14ac:dyDescent="0.2">
      <c r="A85" t="s">
        <v>277</v>
      </c>
      <c r="B85" t="s">
        <v>278</v>
      </c>
      <c r="C85" t="s">
        <v>25</v>
      </c>
      <c r="D85">
        <v>0</v>
      </c>
      <c r="E85" t="s">
        <v>239</v>
      </c>
      <c r="F85" t="s">
        <v>27</v>
      </c>
      <c r="G85" s="1">
        <v>46092</v>
      </c>
      <c r="H85" s="1">
        <v>46122</v>
      </c>
      <c r="I85">
        <v>40320163</v>
      </c>
      <c r="J85">
        <v>0</v>
      </c>
      <c r="K85">
        <v>0</v>
      </c>
      <c r="L85">
        <v>0</v>
      </c>
      <c r="M85">
        <v>0</v>
      </c>
      <c r="N85">
        <v>0</v>
      </c>
      <c r="O85">
        <f t="shared" si="1"/>
        <v>40320163</v>
      </c>
      <c r="P85" t="s">
        <v>28</v>
      </c>
      <c r="Q85" t="s">
        <v>240</v>
      </c>
      <c r="R85" t="s">
        <v>241</v>
      </c>
      <c r="S85" t="s">
        <v>32</v>
      </c>
      <c r="T85" t="s">
        <v>32</v>
      </c>
      <c r="U85" t="s">
        <v>242</v>
      </c>
      <c r="V85" t="s">
        <v>32</v>
      </c>
      <c r="W85">
        <v>30</v>
      </c>
      <c r="X85" s="1">
        <v>46092.441980474629</v>
      </c>
    </row>
    <row r="86" spans="1:24" x14ac:dyDescent="0.2">
      <c r="A86" t="s">
        <v>279</v>
      </c>
      <c r="B86" t="s">
        <v>280</v>
      </c>
      <c r="C86" t="s">
        <v>25</v>
      </c>
      <c r="D86">
        <v>0</v>
      </c>
      <c r="E86" t="s">
        <v>239</v>
      </c>
      <c r="F86" t="s">
        <v>27</v>
      </c>
      <c r="G86" s="1">
        <v>46092</v>
      </c>
      <c r="H86" s="1">
        <v>46122</v>
      </c>
      <c r="I86">
        <v>71288312</v>
      </c>
      <c r="J86">
        <v>0</v>
      </c>
      <c r="K86">
        <v>0</v>
      </c>
      <c r="L86">
        <v>0</v>
      </c>
      <c r="M86">
        <v>0</v>
      </c>
      <c r="N86">
        <v>0</v>
      </c>
      <c r="O86">
        <f t="shared" si="1"/>
        <v>71288312</v>
      </c>
      <c r="P86" t="s">
        <v>28</v>
      </c>
      <c r="Q86" t="s">
        <v>240</v>
      </c>
      <c r="R86" t="s">
        <v>241</v>
      </c>
      <c r="S86" t="s">
        <v>32</v>
      </c>
      <c r="T86" t="s">
        <v>32</v>
      </c>
      <c r="U86" t="s">
        <v>242</v>
      </c>
      <c r="V86" t="s">
        <v>32</v>
      </c>
      <c r="W86">
        <v>30</v>
      </c>
      <c r="X86" s="1">
        <v>46092.443768865895</v>
      </c>
    </row>
    <row r="87" spans="1:24" x14ac:dyDescent="0.2">
      <c r="A87" t="s">
        <v>281</v>
      </c>
      <c r="B87" t="s">
        <v>282</v>
      </c>
      <c r="C87" t="s">
        <v>25</v>
      </c>
      <c r="D87">
        <v>0</v>
      </c>
      <c r="E87" t="s">
        <v>239</v>
      </c>
      <c r="F87" t="s">
        <v>27</v>
      </c>
      <c r="G87" s="1">
        <v>46100</v>
      </c>
      <c r="H87" s="1">
        <v>46130</v>
      </c>
      <c r="I87">
        <v>54110972</v>
      </c>
      <c r="J87">
        <v>0</v>
      </c>
      <c r="K87">
        <v>0</v>
      </c>
      <c r="L87">
        <v>0</v>
      </c>
      <c r="M87">
        <v>0</v>
      </c>
      <c r="N87">
        <v>0</v>
      </c>
      <c r="O87">
        <f t="shared" si="1"/>
        <v>54110972</v>
      </c>
      <c r="P87" t="s">
        <v>28</v>
      </c>
      <c r="Q87" t="s">
        <v>240</v>
      </c>
      <c r="R87" t="s">
        <v>241</v>
      </c>
      <c r="S87" t="s">
        <v>32</v>
      </c>
      <c r="T87" t="s">
        <v>32</v>
      </c>
      <c r="U87" t="s">
        <v>242</v>
      </c>
      <c r="V87" t="s">
        <v>32</v>
      </c>
      <c r="W87">
        <v>30</v>
      </c>
      <c r="X87" s="1">
        <v>46100.693206007127</v>
      </c>
    </row>
    <row r="88" spans="1:24" x14ac:dyDescent="0.2">
      <c r="A88" t="s">
        <v>283</v>
      </c>
      <c r="B88" t="s">
        <v>284</v>
      </c>
      <c r="C88" t="s">
        <v>25</v>
      </c>
      <c r="D88">
        <v>0</v>
      </c>
      <c r="E88" t="s">
        <v>239</v>
      </c>
      <c r="F88" t="s">
        <v>27</v>
      </c>
      <c r="G88" s="1">
        <v>46100</v>
      </c>
      <c r="H88" s="1">
        <v>46130</v>
      </c>
      <c r="I88">
        <v>5916232</v>
      </c>
      <c r="J88">
        <v>0</v>
      </c>
      <c r="K88">
        <v>0</v>
      </c>
      <c r="L88">
        <v>0</v>
      </c>
      <c r="M88">
        <v>0</v>
      </c>
      <c r="N88">
        <v>0</v>
      </c>
      <c r="O88">
        <f t="shared" si="1"/>
        <v>5916232</v>
      </c>
      <c r="P88" t="s">
        <v>28</v>
      </c>
      <c r="Q88" t="s">
        <v>240</v>
      </c>
      <c r="R88" t="s">
        <v>241</v>
      </c>
      <c r="S88" t="s">
        <v>32</v>
      </c>
      <c r="T88" t="s">
        <v>32</v>
      </c>
      <c r="U88" t="s">
        <v>242</v>
      </c>
      <c r="V88" t="s">
        <v>32</v>
      </c>
      <c r="W88">
        <v>30</v>
      </c>
      <c r="X88" s="1">
        <v>46100.694074074272</v>
      </c>
    </row>
    <row r="89" spans="1:24" x14ac:dyDescent="0.2">
      <c r="A89" t="s">
        <v>285</v>
      </c>
      <c r="B89" t="s">
        <v>286</v>
      </c>
      <c r="C89" t="s">
        <v>25</v>
      </c>
      <c r="D89">
        <v>0</v>
      </c>
      <c r="E89" t="s">
        <v>239</v>
      </c>
      <c r="F89" t="s">
        <v>27</v>
      </c>
      <c r="G89" s="1">
        <v>46100</v>
      </c>
      <c r="H89" s="1">
        <v>46130</v>
      </c>
      <c r="I89">
        <v>15092361</v>
      </c>
      <c r="J89">
        <v>0</v>
      </c>
      <c r="K89">
        <v>0</v>
      </c>
      <c r="L89">
        <v>0</v>
      </c>
      <c r="M89">
        <v>0</v>
      </c>
      <c r="N89">
        <v>0</v>
      </c>
      <c r="O89">
        <f t="shared" si="1"/>
        <v>15092361</v>
      </c>
      <c r="P89" t="s">
        <v>28</v>
      </c>
      <c r="Q89" t="s">
        <v>240</v>
      </c>
      <c r="R89" t="s">
        <v>241</v>
      </c>
      <c r="S89" t="s">
        <v>32</v>
      </c>
      <c r="T89" t="s">
        <v>32</v>
      </c>
      <c r="U89" t="s">
        <v>242</v>
      </c>
      <c r="V89" t="s">
        <v>32</v>
      </c>
      <c r="W89">
        <v>30</v>
      </c>
      <c r="X89" s="1">
        <v>46100.694664340466</v>
      </c>
    </row>
    <row r="90" spans="1:24" x14ac:dyDescent="0.2">
      <c r="A90" t="s">
        <v>287</v>
      </c>
      <c r="B90" t="s">
        <v>288</v>
      </c>
      <c r="C90" t="s">
        <v>25</v>
      </c>
      <c r="D90">
        <v>0</v>
      </c>
      <c r="E90" t="s">
        <v>289</v>
      </c>
      <c r="F90" t="s">
        <v>27</v>
      </c>
      <c r="G90" s="1">
        <v>45695</v>
      </c>
      <c r="H90" s="1">
        <v>45707</v>
      </c>
      <c r="I90">
        <v>0</v>
      </c>
      <c r="J90">
        <v>97000</v>
      </c>
      <c r="K90">
        <v>0</v>
      </c>
      <c r="L90">
        <v>0</v>
      </c>
      <c r="M90">
        <v>1</v>
      </c>
      <c r="N90">
        <v>1</v>
      </c>
      <c r="O90">
        <f t="shared" si="1"/>
        <v>97000</v>
      </c>
      <c r="P90" t="s">
        <v>28</v>
      </c>
      <c r="Q90" t="s">
        <v>290</v>
      </c>
      <c r="R90" t="s">
        <v>291</v>
      </c>
      <c r="S90" t="s">
        <v>32</v>
      </c>
      <c r="T90" t="s">
        <v>32</v>
      </c>
      <c r="U90" t="s">
        <v>292</v>
      </c>
      <c r="V90" t="s">
        <v>32</v>
      </c>
      <c r="W90">
        <v>0</v>
      </c>
      <c r="X90" s="1">
        <v>45698.697279155254</v>
      </c>
    </row>
    <row r="91" spans="1:24" x14ac:dyDescent="0.2">
      <c r="A91" t="s">
        <v>293</v>
      </c>
      <c r="B91" t="s">
        <v>293</v>
      </c>
      <c r="C91" t="s">
        <v>25</v>
      </c>
      <c r="D91">
        <v>0</v>
      </c>
      <c r="E91" t="s">
        <v>289</v>
      </c>
      <c r="F91" t="s">
        <v>27</v>
      </c>
      <c r="G91" s="1">
        <v>45733.309547210578</v>
      </c>
      <c r="H91" s="1">
        <v>45733.309547210578</v>
      </c>
      <c r="I91">
        <v>0</v>
      </c>
      <c r="J91">
        <v>-97000</v>
      </c>
      <c r="K91">
        <v>0</v>
      </c>
      <c r="L91">
        <v>0</v>
      </c>
      <c r="M91">
        <v>0</v>
      </c>
      <c r="N91">
        <v>1</v>
      </c>
      <c r="O91">
        <f t="shared" si="1"/>
        <v>-97000</v>
      </c>
      <c r="P91" t="s">
        <v>32</v>
      </c>
      <c r="Q91" t="s">
        <v>290</v>
      </c>
      <c r="R91" t="s">
        <v>291</v>
      </c>
      <c r="S91" t="s">
        <v>32</v>
      </c>
      <c r="T91" t="s">
        <v>32</v>
      </c>
      <c r="U91" t="s">
        <v>292</v>
      </c>
      <c r="V91" t="s">
        <v>32</v>
      </c>
      <c r="W91">
        <v>0</v>
      </c>
      <c r="X91" s="1">
        <v>2</v>
      </c>
    </row>
    <row r="92" spans="1:24" x14ac:dyDescent="0.2">
      <c r="A92" t="s">
        <v>294</v>
      </c>
      <c r="B92" t="s">
        <v>295</v>
      </c>
      <c r="C92" t="s">
        <v>25</v>
      </c>
      <c r="D92">
        <v>0</v>
      </c>
      <c r="E92" t="s">
        <v>296</v>
      </c>
      <c r="F92" t="s">
        <v>27</v>
      </c>
      <c r="G92" s="1">
        <v>46091</v>
      </c>
      <c r="H92" s="1">
        <v>46136</v>
      </c>
      <c r="I92">
        <v>41966064</v>
      </c>
      <c r="J92">
        <v>0</v>
      </c>
      <c r="K92">
        <v>0</v>
      </c>
      <c r="L92">
        <v>0</v>
      </c>
      <c r="M92">
        <v>0</v>
      </c>
      <c r="N92">
        <v>0</v>
      </c>
      <c r="O92">
        <f t="shared" si="1"/>
        <v>41966064</v>
      </c>
      <c r="P92" t="s">
        <v>28</v>
      </c>
      <c r="Q92" t="s">
        <v>297</v>
      </c>
      <c r="R92" t="s">
        <v>298</v>
      </c>
      <c r="S92" t="s">
        <v>299</v>
      </c>
      <c r="T92" t="s">
        <v>300</v>
      </c>
      <c r="U92" t="s">
        <v>301</v>
      </c>
      <c r="V92" t="s">
        <v>302</v>
      </c>
      <c r="W92">
        <v>45</v>
      </c>
      <c r="X92" s="1">
        <v>46092.351927465294</v>
      </c>
    </row>
    <row r="93" spans="1:24" x14ac:dyDescent="0.2">
      <c r="A93" t="s">
        <v>303</v>
      </c>
      <c r="B93" t="s">
        <v>304</v>
      </c>
      <c r="C93" t="s">
        <v>25</v>
      </c>
      <c r="D93">
        <v>0</v>
      </c>
      <c r="E93" t="s">
        <v>305</v>
      </c>
      <c r="F93" t="s">
        <v>27</v>
      </c>
      <c r="G93" s="1">
        <v>46079</v>
      </c>
      <c r="H93" s="1">
        <v>46109</v>
      </c>
      <c r="I93">
        <v>0</v>
      </c>
      <c r="J93">
        <v>8696300</v>
      </c>
      <c r="K93">
        <v>0</v>
      </c>
      <c r="L93">
        <v>0</v>
      </c>
      <c r="M93">
        <v>0</v>
      </c>
      <c r="N93">
        <v>1</v>
      </c>
      <c r="O93">
        <f t="shared" si="1"/>
        <v>8696300</v>
      </c>
      <c r="P93" t="s">
        <v>28</v>
      </c>
      <c r="Q93" t="s">
        <v>306</v>
      </c>
      <c r="R93" t="s">
        <v>307</v>
      </c>
      <c r="S93" t="s">
        <v>178</v>
      </c>
      <c r="T93" t="s">
        <v>32</v>
      </c>
      <c r="U93" t="s">
        <v>32</v>
      </c>
      <c r="V93" t="s">
        <v>32</v>
      </c>
      <c r="W93">
        <v>30</v>
      </c>
      <c r="X93" s="1">
        <v>46079.366769930348</v>
      </c>
    </row>
    <row r="94" spans="1:24" x14ac:dyDescent="0.2">
      <c r="A94" t="s">
        <v>308</v>
      </c>
      <c r="B94" t="s">
        <v>309</v>
      </c>
      <c r="C94" t="s">
        <v>25</v>
      </c>
      <c r="D94">
        <v>0</v>
      </c>
      <c r="E94" t="s">
        <v>305</v>
      </c>
      <c r="F94" t="s">
        <v>27</v>
      </c>
      <c r="G94" s="1">
        <v>46100</v>
      </c>
      <c r="H94" s="1">
        <v>46130</v>
      </c>
      <c r="I94">
        <v>12988400</v>
      </c>
      <c r="J94">
        <v>0</v>
      </c>
      <c r="K94">
        <v>0</v>
      </c>
      <c r="L94">
        <v>0</v>
      </c>
      <c r="M94">
        <v>0</v>
      </c>
      <c r="N94">
        <v>0</v>
      </c>
      <c r="O94">
        <f t="shared" si="1"/>
        <v>12988400</v>
      </c>
      <c r="P94" t="s">
        <v>28</v>
      </c>
      <c r="Q94" t="s">
        <v>306</v>
      </c>
      <c r="R94" t="s">
        <v>307</v>
      </c>
      <c r="S94" t="s">
        <v>178</v>
      </c>
      <c r="T94" t="s">
        <v>32</v>
      </c>
      <c r="U94" t="s">
        <v>32</v>
      </c>
      <c r="V94" t="s">
        <v>32</v>
      </c>
      <c r="W94">
        <v>30</v>
      </c>
      <c r="X94" s="1">
        <v>46100.327581018675</v>
      </c>
    </row>
    <row r="95" spans="1:24" x14ac:dyDescent="0.2">
      <c r="A95" t="s">
        <v>310</v>
      </c>
      <c r="B95" t="s">
        <v>311</v>
      </c>
      <c r="C95" t="s">
        <v>25</v>
      </c>
      <c r="D95">
        <v>0</v>
      </c>
      <c r="E95" t="s">
        <v>312</v>
      </c>
      <c r="F95" t="s">
        <v>27</v>
      </c>
      <c r="G95" s="1">
        <v>45962</v>
      </c>
      <c r="H95" s="1">
        <v>45962</v>
      </c>
      <c r="I95">
        <v>0</v>
      </c>
      <c r="J95">
        <v>-270000</v>
      </c>
      <c r="K95">
        <v>0</v>
      </c>
      <c r="L95">
        <v>0</v>
      </c>
      <c r="M95">
        <v>1</v>
      </c>
      <c r="N95">
        <v>1</v>
      </c>
      <c r="O95">
        <f t="shared" si="1"/>
        <v>-270000</v>
      </c>
      <c r="P95" t="s">
        <v>28</v>
      </c>
      <c r="Q95" t="s">
        <v>313</v>
      </c>
      <c r="R95" t="s">
        <v>314</v>
      </c>
      <c r="S95" t="s">
        <v>32</v>
      </c>
      <c r="T95" t="s">
        <v>32</v>
      </c>
      <c r="U95" t="s">
        <v>32</v>
      </c>
      <c r="V95" t="s">
        <v>315</v>
      </c>
      <c r="W95">
        <v>0</v>
      </c>
      <c r="X95" s="1">
        <v>45962.475812720135</v>
      </c>
    </row>
    <row r="96" spans="1:24" x14ac:dyDescent="0.2">
      <c r="A96" t="s">
        <v>316</v>
      </c>
      <c r="B96" t="s">
        <v>317</v>
      </c>
      <c r="C96" t="s">
        <v>25</v>
      </c>
      <c r="D96">
        <v>0</v>
      </c>
      <c r="E96" t="s">
        <v>312</v>
      </c>
      <c r="F96" t="s">
        <v>27</v>
      </c>
      <c r="G96" s="1">
        <v>45962</v>
      </c>
      <c r="H96" s="1">
        <v>45962</v>
      </c>
      <c r="I96">
        <v>0</v>
      </c>
      <c r="J96">
        <v>270000</v>
      </c>
      <c r="K96">
        <v>0</v>
      </c>
      <c r="L96">
        <v>0</v>
      </c>
      <c r="M96">
        <v>1</v>
      </c>
      <c r="N96">
        <v>1</v>
      </c>
      <c r="O96">
        <f t="shared" si="1"/>
        <v>270000</v>
      </c>
      <c r="P96" t="s">
        <v>28</v>
      </c>
      <c r="Q96" t="s">
        <v>313</v>
      </c>
      <c r="R96" t="s">
        <v>314</v>
      </c>
      <c r="S96" t="s">
        <v>32</v>
      </c>
      <c r="T96" t="s">
        <v>32</v>
      </c>
      <c r="U96" t="s">
        <v>32</v>
      </c>
      <c r="V96" t="s">
        <v>315</v>
      </c>
      <c r="W96">
        <v>0</v>
      </c>
      <c r="X96" s="1">
        <v>45962.492520786822</v>
      </c>
    </row>
    <row r="97" spans="1:24" x14ac:dyDescent="0.2">
      <c r="A97" t="s">
        <v>318</v>
      </c>
      <c r="B97" t="s">
        <v>319</v>
      </c>
      <c r="C97" t="s">
        <v>25</v>
      </c>
      <c r="D97">
        <v>0</v>
      </c>
      <c r="E97" t="s">
        <v>320</v>
      </c>
      <c r="F97" t="s">
        <v>27</v>
      </c>
      <c r="G97" s="1">
        <v>45730</v>
      </c>
      <c r="H97" s="1">
        <v>45730</v>
      </c>
      <c r="I97">
        <v>0</v>
      </c>
      <c r="J97">
        <v>-1</v>
      </c>
      <c r="K97">
        <v>0</v>
      </c>
      <c r="L97">
        <v>0</v>
      </c>
      <c r="M97">
        <v>1</v>
      </c>
      <c r="N97">
        <v>1</v>
      </c>
      <c r="O97">
        <f t="shared" si="1"/>
        <v>-1</v>
      </c>
      <c r="P97" t="s">
        <v>28</v>
      </c>
      <c r="Q97" t="s">
        <v>321</v>
      </c>
      <c r="R97" t="s">
        <v>322</v>
      </c>
      <c r="S97" t="s">
        <v>32</v>
      </c>
      <c r="T97" t="s">
        <v>32</v>
      </c>
      <c r="U97" t="s">
        <v>323</v>
      </c>
      <c r="V97" t="s">
        <v>32</v>
      </c>
      <c r="W97">
        <v>0</v>
      </c>
      <c r="X97" s="1">
        <v>45733.693951921072</v>
      </c>
    </row>
    <row r="98" spans="1:24" x14ac:dyDescent="0.2">
      <c r="A98" t="s">
        <v>324</v>
      </c>
      <c r="B98" t="s">
        <v>325</v>
      </c>
      <c r="C98" t="s">
        <v>25</v>
      </c>
      <c r="D98">
        <v>0</v>
      </c>
      <c r="E98" t="s">
        <v>320</v>
      </c>
      <c r="F98" t="s">
        <v>27</v>
      </c>
      <c r="G98" s="1">
        <v>46090</v>
      </c>
      <c r="H98" s="1">
        <v>46090</v>
      </c>
      <c r="I98">
        <v>125898</v>
      </c>
      <c r="J98">
        <v>0</v>
      </c>
      <c r="K98">
        <v>117704</v>
      </c>
      <c r="L98">
        <v>0</v>
      </c>
      <c r="M98">
        <v>1</v>
      </c>
      <c r="N98">
        <v>0</v>
      </c>
      <c r="O98">
        <f t="shared" si="1"/>
        <v>8194</v>
      </c>
      <c r="P98" t="s">
        <v>28</v>
      </c>
      <c r="Q98" t="s">
        <v>321</v>
      </c>
      <c r="R98" t="s">
        <v>322</v>
      </c>
      <c r="S98" t="s">
        <v>32</v>
      </c>
      <c r="T98" t="s">
        <v>32</v>
      </c>
      <c r="U98" t="s">
        <v>323</v>
      </c>
      <c r="V98" t="s">
        <v>32</v>
      </c>
      <c r="W98">
        <v>0</v>
      </c>
      <c r="X98" s="1">
        <v>46093.373403703794</v>
      </c>
    </row>
    <row r="99" spans="1:24" x14ac:dyDescent="0.2">
      <c r="A99" t="s">
        <v>326</v>
      </c>
      <c r="B99" t="s">
        <v>327</v>
      </c>
      <c r="C99" t="s">
        <v>25</v>
      </c>
      <c r="D99">
        <v>0</v>
      </c>
      <c r="E99" t="s">
        <v>328</v>
      </c>
      <c r="F99" t="s">
        <v>27</v>
      </c>
      <c r="G99" s="1">
        <v>46063</v>
      </c>
      <c r="H99" s="1">
        <v>46093</v>
      </c>
      <c r="I99">
        <v>0</v>
      </c>
      <c r="J99">
        <v>18929226</v>
      </c>
      <c r="K99">
        <v>0</v>
      </c>
      <c r="L99">
        <v>0</v>
      </c>
      <c r="M99">
        <v>0</v>
      </c>
      <c r="N99">
        <v>1</v>
      </c>
      <c r="O99">
        <f t="shared" si="1"/>
        <v>18929226</v>
      </c>
      <c r="P99" t="s">
        <v>28</v>
      </c>
      <c r="Q99" t="s">
        <v>329</v>
      </c>
      <c r="R99" t="s">
        <v>330</v>
      </c>
      <c r="S99" t="s">
        <v>331</v>
      </c>
      <c r="T99" t="s">
        <v>32</v>
      </c>
      <c r="U99" t="s">
        <v>332</v>
      </c>
      <c r="V99" t="s">
        <v>32</v>
      </c>
      <c r="W99">
        <v>30</v>
      </c>
      <c r="X99" s="1">
        <v>46063.601739965379</v>
      </c>
    </row>
    <row r="100" spans="1:24" x14ac:dyDescent="0.2">
      <c r="A100" t="s">
        <v>333</v>
      </c>
      <c r="B100" t="s">
        <v>334</v>
      </c>
      <c r="C100" t="s">
        <v>25</v>
      </c>
      <c r="D100">
        <v>0</v>
      </c>
      <c r="E100" t="s">
        <v>328</v>
      </c>
      <c r="F100" t="s">
        <v>27</v>
      </c>
      <c r="G100" s="1">
        <v>46084</v>
      </c>
      <c r="H100" s="1">
        <v>46114</v>
      </c>
      <c r="I100">
        <v>10010874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f t="shared" si="1"/>
        <v>10010874</v>
      </c>
      <c r="P100" t="s">
        <v>28</v>
      </c>
      <c r="Q100" t="s">
        <v>329</v>
      </c>
      <c r="R100" t="s">
        <v>330</v>
      </c>
      <c r="S100" t="s">
        <v>331</v>
      </c>
      <c r="T100" t="s">
        <v>32</v>
      </c>
      <c r="U100" t="s">
        <v>332</v>
      </c>
      <c r="V100" t="s">
        <v>32</v>
      </c>
      <c r="W100">
        <v>30</v>
      </c>
      <c r="X100" s="1">
        <v>46084.443353657611</v>
      </c>
    </row>
    <row r="101" spans="1:24" x14ac:dyDescent="0.2">
      <c r="A101" t="s">
        <v>335</v>
      </c>
      <c r="B101" t="s">
        <v>336</v>
      </c>
      <c r="C101" t="s">
        <v>25</v>
      </c>
      <c r="D101">
        <v>0</v>
      </c>
      <c r="E101" t="s">
        <v>328</v>
      </c>
      <c r="F101" t="s">
        <v>27</v>
      </c>
      <c r="G101" s="1">
        <v>46084</v>
      </c>
      <c r="H101" s="1">
        <v>46114</v>
      </c>
      <c r="I101">
        <v>307377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f t="shared" si="1"/>
        <v>307377</v>
      </c>
      <c r="P101" t="s">
        <v>28</v>
      </c>
      <c r="Q101" t="s">
        <v>329</v>
      </c>
      <c r="R101" t="s">
        <v>330</v>
      </c>
      <c r="S101" t="s">
        <v>331</v>
      </c>
      <c r="T101" t="s">
        <v>32</v>
      </c>
      <c r="U101" t="s">
        <v>332</v>
      </c>
      <c r="V101" t="s">
        <v>32</v>
      </c>
      <c r="W101">
        <v>30</v>
      </c>
      <c r="X101" s="1">
        <v>46084.656129467767</v>
      </c>
    </row>
    <row r="102" spans="1:24" x14ac:dyDescent="0.2">
      <c r="A102" t="s">
        <v>337</v>
      </c>
      <c r="B102" t="s">
        <v>338</v>
      </c>
      <c r="C102" t="s">
        <v>25</v>
      </c>
      <c r="D102">
        <v>0</v>
      </c>
      <c r="E102" t="s">
        <v>328</v>
      </c>
      <c r="F102" t="s">
        <v>27</v>
      </c>
      <c r="G102" s="1">
        <v>46084</v>
      </c>
      <c r="H102" s="1">
        <v>46114</v>
      </c>
      <c r="I102">
        <v>307377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f t="shared" si="1"/>
        <v>307377</v>
      </c>
      <c r="P102" t="s">
        <v>28</v>
      </c>
      <c r="Q102" t="s">
        <v>329</v>
      </c>
      <c r="R102" t="s">
        <v>330</v>
      </c>
      <c r="S102" t="s">
        <v>331</v>
      </c>
      <c r="T102" t="s">
        <v>32</v>
      </c>
      <c r="U102" t="s">
        <v>332</v>
      </c>
      <c r="V102" t="s">
        <v>32</v>
      </c>
      <c r="W102">
        <v>30</v>
      </c>
      <c r="X102" s="1">
        <v>46084.657406550832</v>
      </c>
    </row>
    <row r="103" spans="1:24" x14ac:dyDescent="0.2">
      <c r="A103" t="s">
        <v>339</v>
      </c>
      <c r="B103" t="s">
        <v>340</v>
      </c>
      <c r="C103" t="s">
        <v>25</v>
      </c>
      <c r="D103">
        <v>0</v>
      </c>
      <c r="E103" t="s">
        <v>341</v>
      </c>
      <c r="F103" t="s">
        <v>342</v>
      </c>
      <c r="G103" s="1">
        <v>46025</v>
      </c>
      <c r="H103" s="1">
        <v>46025</v>
      </c>
      <c r="I103">
        <v>0</v>
      </c>
      <c r="J103">
        <v>162000</v>
      </c>
      <c r="K103">
        <v>0</v>
      </c>
      <c r="L103">
        <v>0</v>
      </c>
      <c r="M103">
        <v>1</v>
      </c>
      <c r="N103">
        <v>1</v>
      </c>
      <c r="O103">
        <f t="shared" si="1"/>
        <v>162000</v>
      </c>
      <c r="P103" t="s">
        <v>28</v>
      </c>
      <c r="Q103" t="s">
        <v>343</v>
      </c>
      <c r="R103" t="s">
        <v>344</v>
      </c>
      <c r="S103" t="s">
        <v>32</v>
      </c>
      <c r="T103" t="s">
        <v>32</v>
      </c>
      <c r="U103" t="s">
        <v>32</v>
      </c>
      <c r="V103" t="s">
        <v>32</v>
      </c>
      <c r="W103">
        <v>0</v>
      </c>
      <c r="X103" s="1">
        <v>46057.422706851736</v>
      </c>
    </row>
    <row r="104" spans="1:24" x14ac:dyDescent="0.2">
      <c r="A104" t="s">
        <v>345</v>
      </c>
      <c r="B104" t="s">
        <v>346</v>
      </c>
      <c r="C104" t="s">
        <v>25</v>
      </c>
      <c r="D104">
        <v>0</v>
      </c>
      <c r="E104" t="s">
        <v>347</v>
      </c>
      <c r="F104" t="s">
        <v>27</v>
      </c>
      <c r="G104" s="1">
        <v>46041</v>
      </c>
      <c r="H104" s="1">
        <v>46041</v>
      </c>
      <c r="I104">
        <v>0</v>
      </c>
      <c r="J104">
        <v>65000</v>
      </c>
      <c r="K104">
        <v>0</v>
      </c>
      <c r="L104">
        <v>0</v>
      </c>
      <c r="M104">
        <v>1</v>
      </c>
      <c r="N104">
        <v>1</v>
      </c>
      <c r="O104">
        <f t="shared" si="1"/>
        <v>65000</v>
      </c>
      <c r="P104" t="s">
        <v>28</v>
      </c>
      <c r="Q104" t="s">
        <v>348</v>
      </c>
      <c r="R104" t="s">
        <v>349</v>
      </c>
      <c r="S104" t="s">
        <v>32</v>
      </c>
      <c r="T104" t="s">
        <v>32</v>
      </c>
      <c r="U104" t="s">
        <v>350</v>
      </c>
      <c r="V104" t="s">
        <v>351</v>
      </c>
      <c r="W104">
        <v>0</v>
      </c>
      <c r="X104" s="1">
        <v>46048.650673727039</v>
      </c>
    </row>
    <row r="105" spans="1:24" x14ac:dyDescent="0.2">
      <c r="A105" t="s">
        <v>352</v>
      </c>
      <c r="B105" t="s">
        <v>353</v>
      </c>
      <c r="C105" t="s">
        <v>25</v>
      </c>
      <c r="D105">
        <v>0</v>
      </c>
      <c r="E105" t="s">
        <v>354</v>
      </c>
      <c r="F105" t="s">
        <v>27</v>
      </c>
      <c r="G105" s="1">
        <v>46009</v>
      </c>
      <c r="H105" s="1">
        <v>46009</v>
      </c>
      <c r="I105">
        <v>0</v>
      </c>
      <c r="J105">
        <v>20000</v>
      </c>
      <c r="K105">
        <v>0</v>
      </c>
      <c r="L105">
        <v>0</v>
      </c>
      <c r="M105">
        <v>1</v>
      </c>
      <c r="N105">
        <v>1</v>
      </c>
      <c r="O105">
        <f t="shared" si="1"/>
        <v>20000</v>
      </c>
      <c r="P105" t="s">
        <v>28</v>
      </c>
      <c r="Q105" t="s">
        <v>355</v>
      </c>
      <c r="R105" t="s">
        <v>356</v>
      </c>
      <c r="S105" t="s">
        <v>357</v>
      </c>
      <c r="T105" t="s">
        <v>32</v>
      </c>
      <c r="U105" t="s">
        <v>358</v>
      </c>
      <c r="V105" t="s">
        <v>32</v>
      </c>
      <c r="W105">
        <v>0</v>
      </c>
      <c r="X105" s="1">
        <v>46009.696425150614</v>
      </c>
    </row>
    <row r="106" spans="1:24" x14ac:dyDescent="0.2">
      <c r="A106" t="s">
        <v>359</v>
      </c>
      <c r="B106" t="s">
        <v>360</v>
      </c>
      <c r="C106" t="s">
        <v>25</v>
      </c>
      <c r="D106">
        <v>0</v>
      </c>
      <c r="E106" t="s">
        <v>361</v>
      </c>
      <c r="F106" t="s">
        <v>27</v>
      </c>
      <c r="G106" s="1">
        <v>46097</v>
      </c>
      <c r="H106" s="1">
        <v>46127</v>
      </c>
      <c r="I106">
        <v>29770791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f t="shared" si="1"/>
        <v>29770791</v>
      </c>
      <c r="P106" t="s">
        <v>28</v>
      </c>
      <c r="Q106" t="s">
        <v>362</v>
      </c>
      <c r="R106" t="s">
        <v>363</v>
      </c>
      <c r="S106" t="s">
        <v>178</v>
      </c>
      <c r="T106" t="s">
        <v>364</v>
      </c>
      <c r="U106" t="s">
        <v>365</v>
      </c>
      <c r="V106" t="s">
        <v>366</v>
      </c>
      <c r="W106">
        <v>30</v>
      </c>
      <c r="X106" s="1">
        <v>46097.742650451604</v>
      </c>
    </row>
    <row r="107" spans="1:24" x14ac:dyDescent="0.2">
      <c r="A107" t="s">
        <v>367</v>
      </c>
      <c r="B107" t="s">
        <v>368</v>
      </c>
      <c r="C107" t="s">
        <v>25</v>
      </c>
      <c r="D107">
        <v>0</v>
      </c>
      <c r="E107" t="s">
        <v>369</v>
      </c>
      <c r="F107" t="s">
        <v>27</v>
      </c>
      <c r="G107" s="1">
        <v>46085</v>
      </c>
      <c r="H107" s="1">
        <v>46115</v>
      </c>
      <c r="I107">
        <v>2006933</v>
      </c>
      <c r="J107">
        <v>0</v>
      </c>
      <c r="K107">
        <v>0</v>
      </c>
      <c r="L107">
        <v>0</v>
      </c>
      <c r="M107">
        <v>1</v>
      </c>
      <c r="N107">
        <v>0</v>
      </c>
      <c r="O107">
        <f t="shared" si="1"/>
        <v>2006933</v>
      </c>
      <c r="P107" t="s">
        <v>28</v>
      </c>
      <c r="Q107" t="s">
        <v>370</v>
      </c>
      <c r="R107" t="s">
        <v>371</v>
      </c>
      <c r="S107" t="s">
        <v>32</v>
      </c>
      <c r="T107" t="s">
        <v>32</v>
      </c>
      <c r="U107" t="s">
        <v>372</v>
      </c>
      <c r="V107" t="s">
        <v>373</v>
      </c>
      <c r="W107">
        <v>0</v>
      </c>
      <c r="X107" s="1">
        <v>46099.702546284534</v>
      </c>
    </row>
    <row r="108" spans="1:24" x14ac:dyDescent="0.2">
      <c r="A108" t="s">
        <v>374</v>
      </c>
      <c r="B108" t="s">
        <v>375</v>
      </c>
      <c r="C108" t="s">
        <v>25</v>
      </c>
      <c r="D108">
        <v>0</v>
      </c>
      <c r="E108" t="s">
        <v>369</v>
      </c>
      <c r="F108" t="s">
        <v>27</v>
      </c>
      <c r="G108" s="1">
        <v>46091</v>
      </c>
      <c r="H108" s="1">
        <v>46121</v>
      </c>
      <c r="I108">
        <v>2936975</v>
      </c>
      <c r="J108">
        <v>0</v>
      </c>
      <c r="K108">
        <v>0</v>
      </c>
      <c r="L108">
        <v>0</v>
      </c>
      <c r="M108">
        <v>1</v>
      </c>
      <c r="N108">
        <v>0</v>
      </c>
      <c r="O108">
        <f t="shared" si="1"/>
        <v>2936975</v>
      </c>
      <c r="P108" t="s">
        <v>28</v>
      </c>
      <c r="Q108" t="s">
        <v>370</v>
      </c>
      <c r="R108" t="s">
        <v>371</v>
      </c>
      <c r="S108" t="s">
        <v>32</v>
      </c>
      <c r="T108" t="s">
        <v>32</v>
      </c>
      <c r="U108" t="s">
        <v>372</v>
      </c>
      <c r="V108" t="s">
        <v>373</v>
      </c>
      <c r="W108">
        <v>0</v>
      </c>
      <c r="X108" s="1">
        <v>46099.699108784553</v>
      </c>
    </row>
    <row r="109" spans="1:24" x14ac:dyDescent="0.2">
      <c r="A109" t="s">
        <v>376</v>
      </c>
      <c r="B109" t="s">
        <v>377</v>
      </c>
      <c r="C109" t="s">
        <v>25</v>
      </c>
      <c r="D109">
        <v>0</v>
      </c>
      <c r="E109" t="s">
        <v>378</v>
      </c>
      <c r="F109" t="s">
        <v>27</v>
      </c>
      <c r="G109" s="1">
        <v>46041</v>
      </c>
      <c r="H109" s="1">
        <v>46101</v>
      </c>
      <c r="I109">
        <v>0</v>
      </c>
      <c r="J109">
        <v>190822447</v>
      </c>
      <c r="K109">
        <v>0</v>
      </c>
      <c r="L109">
        <v>0</v>
      </c>
      <c r="M109">
        <v>0</v>
      </c>
      <c r="N109">
        <v>1</v>
      </c>
      <c r="O109">
        <f t="shared" si="1"/>
        <v>190822447</v>
      </c>
      <c r="P109" t="s">
        <v>28</v>
      </c>
      <c r="Q109" t="s">
        <v>379</v>
      </c>
      <c r="R109" t="s">
        <v>380</v>
      </c>
      <c r="S109" t="s">
        <v>381</v>
      </c>
      <c r="T109" t="s">
        <v>382</v>
      </c>
      <c r="U109" t="s">
        <v>383</v>
      </c>
      <c r="V109" t="s">
        <v>32</v>
      </c>
      <c r="W109">
        <v>60</v>
      </c>
      <c r="X109" s="1">
        <v>46041.33210094925</v>
      </c>
    </row>
    <row r="110" spans="1:24" x14ac:dyDescent="0.2">
      <c r="A110" t="s">
        <v>384</v>
      </c>
      <c r="B110" t="s">
        <v>385</v>
      </c>
      <c r="C110" t="s">
        <v>25</v>
      </c>
      <c r="D110">
        <v>0</v>
      </c>
      <c r="E110" t="s">
        <v>378</v>
      </c>
      <c r="F110" t="s">
        <v>27</v>
      </c>
      <c r="G110" s="1">
        <v>46043</v>
      </c>
      <c r="H110" s="1">
        <v>46103</v>
      </c>
      <c r="I110">
        <v>0</v>
      </c>
      <c r="J110">
        <v>32158008</v>
      </c>
      <c r="K110">
        <v>0</v>
      </c>
      <c r="L110">
        <v>0</v>
      </c>
      <c r="M110">
        <v>0</v>
      </c>
      <c r="N110">
        <v>1</v>
      </c>
      <c r="O110">
        <f t="shared" si="1"/>
        <v>32158008</v>
      </c>
      <c r="P110" t="s">
        <v>28</v>
      </c>
      <c r="Q110" t="s">
        <v>379</v>
      </c>
      <c r="R110" t="s">
        <v>380</v>
      </c>
      <c r="S110" t="s">
        <v>381</v>
      </c>
      <c r="T110" t="s">
        <v>382</v>
      </c>
      <c r="U110" t="s">
        <v>383</v>
      </c>
      <c r="V110" t="s">
        <v>32</v>
      </c>
      <c r="W110">
        <v>60</v>
      </c>
      <c r="X110" s="1">
        <v>46043.416504942346</v>
      </c>
    </row>
    <row r="111" spans="1:24" x14ac:dyDescent="0.2">
      <c r="A111" t="s">
        <v>386</v>
      </c>
      <c r="B111" t="s">
        <v>387</v>
      </c>
      <c r="C111" t="s">
        <v>25</v>
      </c>
      <c r="D111">
        <v>0</v>
      </c>
      <c r="E111" t="s">
        <v>378</v>
      </c>
      <c r="F111" t="s">
        <v>27</v>
      </c>
      <c r="G111" s="1">
        <v>46076</v>
      </c>
      <c r="H111" s="1">
        <v>46136</v>
      </c>
      <c r="I111">
        <v>0</v>
      </c>
      <c r="J111">
        <v>18123251</v>
      </c>
      <c r="K111">
        <v>0</v>
      </c>
      <c r="L111">
        <v>0</v>
      </c>
      <c r="M111">
        <v>0</v>
      </c>
      <c r="N111">
        <v>1</v>
      </c>
      <c r="O111">
        <f t="shared" si="1"/>
        <v>18123251</v>
      </c>
      <c r="P111" t="s">
        <v>28</v>
      </c>
      <c r="Q111" t="s">
        <v>379</v>
      </c>
      <c r="R111" t="s">
        <v>380</v>
      </c>
      <c r="S111" t="s">
        <v>381</v>
      </c>
      <c r="T111" t="s">
        <v>382</v>
      </c>
      <c r="U111" t="s">
        <v>383</v>
      </c>
      <c r="V111" t="s">
        <v>32</v>
      </c>
      <c r="W111">
        <v>60</v>
      </c>
      <c r="X111" s="1">
        <v>46076.590635150671</v>
      </c>
    </row>
    <row r="112" spans="1:24" x14ac:dyDescent="0.2">
      <c r="A112" t="s">
        <v>388</v>
      </c>
      <c r="B112" t="s">
        <v>389</v>
      </c>
      <c r="C112" t="s">
        <v>25</v>
      </c>
      <c r="D112">
        <v>0</v>
      </c>
      <c r="E112" t="s">
        <v>378</v>
      </c>
      <c r="F112" t="s">
        <v>27</v>
      </c>
      <c r="G112" s="1">
        <v>46077</v>
      </c>
      <c r="H112" s="1">
        <v>46137</v>
      </c>
      <c r="I112">
        <v>0</v>
      </c>
      <c r="J112">
        <v>185047598</v>
      </c>
      <c r="K112">
        <v>0</v>
      </c>
      <c r="L112">
        <v>0</v>
      </c>
      <c r="M112">
        <v>0</v>
      </c>
      <c r="N112">
        <v>1</v>
      </c>
      <c r="O112">
        <f t="shared" si="1"/>
        <v>185047598</v>
      </c>
      <c r="P112" t="s">
        <v>28</v>
      </c>
      <c r="Q112" t="s">
        <v>379</v>
      </c>
      <c r="R112" t="s">
        <v>380</v>
      </c>
      <c r="S112" t="s">
        <v>381</v>
      </c>
      <c r="T112" t="s">
        <v>382</v>
      </c>
      <c r="U112" t="s">
        <v>383</v>
      </c>
      <c r="V112" t="s">
        <v>32</v>
      </c>
      <c r="W112">
        <v>60</v>
      </c>
      <c r="X112" s="1">
        <v>46077.345703472383</v>
      </c>
    </row>
    <row r="113" spans="1:24" x14ac:dyDescent="0.2">
      <c r="A113" t="s">
        <v>390</v>
      </c>
      <c r="B113" t="s">
        <v>391</v>
      </c>
      <c r="C113" t="s">
        <v>25</v>
      </c>
      <c r="D113">
        <v>0</v>
      </c>
      <c r="E113" t="s">
        <v>378</v>
      </c>
      <c r="F113" t="s">
        <v>27</v>
      </c>
      <c r="G113" s="1">
        <v>46097</v>
      </c>
      <c r="H113" s="1">
        <v>46157</v>
      </c>
      <c r="I113">
        <v>88274898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f t="shared" si="1"/>
        <v>88274898</v>
      </c>
      <c r="P113" t="s">
        <v>28</v>
      </c>
      <c r="Q113" t="s">
        <v>379</v>
      </c>
      <c r="R113" t="s">
        <v>380</v>
      </c>
      <c r="S113" t="s">
        <v>381</v>
      </c>
      <c r="T113" t="s">
        <v>382</v>
      </c>
      <c r="U113" t="s">
        <v>383</v>
      </c>
      <c r="V113" t="s">
        <v>32</v>
      </c>
      <c r="W113">
        <v>60</v>
      </c>
      <c r="X113" s="1">
        <v>46097.364155092742</v>
      </c>
    </row>
    <row r="114" spans="1:24" x14ac:dyDescent="0.2">
      <c r="A114" t="s">
        <v>392</v>
      </c>
      <c r="B114" t="s">
        <v>393</v>
      </c>
      <c r="C114" t="s">
        <v>25</v>
      </c>
      <c r="D114">
        <v>0</v>
      </c>
      <c r="E114" t="s">
        <v>378</v>
      </c>
      <c r="F114" t="s">
        <v>27</v>
      </c>
      <c r="G114" s="1">
        <v>46097</v>
      </c>
      <c r="H114" s="1">
        <v>46157</v>
      </c>
      <c r="I114">
        <v>594316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f t="shared" si="1"/>
        <v>594316</v>
      </c>
      <c r="P114" t="s">
        <v>28</v>
      </c>
      <c r="Q114" t="s">
        <v>379</v>
      </c>
      <c r="R114" t="s">
        <v>380</v>
      </c>
      <c r="S114" t="s">
        <v>381</v>
      </c>
      <c r="T114" t="s">
        <v>382</v>
      </c>
      <c r="U114" t="s">
        <v>383</v>
      </c>
      <c r="V114" t="s">
        <v>32</v>
      </c>
      <c r="W114">
        <v>60</v>
      </c>
      <c r="X114" s="1">
        <v>46097.367048599757</v>
      </c>
    </row>
    <row r="115" spans="1:24" x14ac:dyDescent="0.2">
      <c r="A115" t="s">
        <v>394</v>
      </c>
      <c r="B115" t="s">
        <v>395</v>
      </c>
      <c r="C115" t="s">
        <v>25</v>
      </c>
      <c r="D115">
        <v>0</v>
      </c>
      <c r="E115" t="s">
        <v>396</v>
      </c>
      <c r="F115" t="s">
        <v>27</v>
      </c>
      <c r="G115" s="1">
        <v>46044</v>
      </c>
      <c r="H115" s="1">
        <v>46074</v>
      </c>
      <c r="I115">
        <v>0</v>
      </c>
      <c r="J115">
        <v>95551470</v>
      </c>
      <c r="K115">
        <v>0</v>
      </c>
      <c r="L115">
        <v>0</v>
      </c>
      <c r="M115">
        <v>0</v>
      </c>
      <c r="N115">
        <v>1</v>
      </c>
      <c r="O115">
        <f t="shared" si="1"/>
        <v>95551470</v>
      </c>
      <c r="P115" t="s">
        <v>28</v>
      </c>
      <c r="Q115" t="s">
        <v>397</v>
      </c>
      <c r="R115" t="s">
        <v>398</v>
      </c>
      <c r="S115" t="s">
        <v>399</v>
      </c>
      <c r="T115" t="s">
        <v>400</v>
      </c>
      <c r="U115" t="s">
        <v>401</v>
      </c>
      <c r="V115" t="s">
        <v>32</v>
      </c>
      <c r="W115">
        <v>30</v>
      </c>
      <c r="X115" s="1">
        <v>46044.30987538211</v>
      </c>
    </row>
    <row r="116" spans="1:24" x14ac:dyDescent="0.2">
      <c r="A116" t="s">
        <v>402</v>
      </c>
      <c r="B116" t="s">
        <v>403</v>
      </c>
      <c r="C116" t="s">
        <v>25</v>
      </c>
      <c r="D116">
        <v>0</v>
      </c>
      <c r="E116" t="s">
        <v>396</v>
      </c>
      <c r="F116" t="s">
        <v>27</v>
      </c>
      <c r="G116" s="1">
        <v>46080</v>
      </c>
      <c r="H116" s="1">
        <v>46110</v>
      </c>
      <c r="I116">
        <v>0</v>
      </c>
      <c r="J116">
        <v>94620750</v>
      </c>
      <c r="K116">
        <v>0</v>
      </c>
      <c r="L116">
        <v>0</v>
      </c>
      <c r="M116">
        <v>0</v>
      </c>
      <c r="N116">
        <v>1</v>
      </c>
      <c r="O116">
        <f t="shared" si="1"/>
        <v>94620750</v>
      </c>
      <c r="P116" t="s">
        <v>28</v>
      </c>
      <c r="Q116" t="s">
        <v>397</v>
      </c>
      <c r="R116" t="s">
        <v>398</v>
      </c>
      <c r="S116" t="s">
        <v>399</v>
      </c>
      <c r="T116" t="s">
        <v>400</v>
      </c>
      <c r="U116" t="s">
        <v>401</v>
      </c>
      <c r="V116" t="s">
        <v>32</v>
      </c>
      <c r="W116">
        <v>30</v>
      </c>
      <c r="X116" s="1">
        <v>46080.444247419015</v>
      </c>
    </row>
    <row r="117" spans="1:24" x14ac:dyDescent="0.2">
      <c r="A117" t="s">
        <v>404</v>
      </c>
      <c r="B117" t="s">
        <v>405</v>
      </c>
      <c r="C117" t="s">
        <v>25</v>
      </c>
      <c r="D117">
        <v>0</v>
      </c>
      <c r="E117" t="s">
        <v>406</v>
      </c>
      <c r="F117" t="s">
        <v>27</v>
      </c>
      <c r="G117" s="1">
        <v>45994</v>
      </c>
      <c r="H117" s="1">
        <v>46024</v>
      </c>
      <c r="I117">
        <v>0</v>
      </c>
      <c r="J117">
        <v>95200000</v>
      </c>
      <c r="K117">
        <v>0</v>
      </c>
      <c r="L117">
        <v>0</v>
      </c>
      <c r="M117">
        <v>0</v>
      </c>
      <c r="N117">
        <v>1</v>
      </c>
      <c r="O117">
        <f t="shared" si="1"/>
        <v>95200000</v>
      </c>
      <c r="P117" t="s">
        <v>28</v>
      </c>
      <c r="Q117" t="s">
        <v>407</v>
      </c>
      <c r="R117" t="s">
        <v>408</v>
      </c>
      <c r="S117" t="s">
        <v>32</v>
      </c>
      <c r="T117" t="s">
        <v>32</v>
      </c>
      <c r="U117" t="s">
        <v>409</v>
      </c>
      <c r="V117" t="s">
        <v>410</v>
      </c>
      <c r="W117">
        <v>0</v>
      </c>
      <c r="X117" s="1">
        <v>45995.465467847418</v>
      </c>
    </row>
    <row r="118" spans="1:24" x14ac:dyDescent="0.2">
      <c r="A118" t="s">
        <v>411</v>
      </c>
      <c r="B118" t="s">
        <v>412</v>
      </c>
      <c r="C118" t="s">
        <v>25</v>
      </c>
      <c r="D118">
        <v>0</v>
      </c>
      <c r="E118" t="s">
        <v>413</v>
      </c>
      <c r="F118" t="s">
        <v>27</v>
      </c>
      <c r="G118" s="1">
        <v>46070</v>
      </c>
      <c r="H118" s="1">
        <v>46100</v>
      </c>
      <c r="I118">
        <v>0</v>
      </c>
      <c r="J118">
        <v>27677814</v>
      </c>
      <c r="K118">
        <v>0</v>
      </c>
      <c r="L118">
        <v>0</v>
      </c>
      <c r="M118">
        <v>0</v>
      </c>
      <c r="N118">
        <v>1</v>
      </c>
      <c r="O118">
        <f t="shared" si="1"/>
        <v>27677814</v>
      </c>
      <c r="P118" t="s">
        <v>28</v>
      </c>
      <c r="Q118" t="s">
        <v>414</v>
      </c>
      <c r="R118" t="s">
        <v>415</v>
      </c>
      <c r="S118" t="s">
        <v>32</v>
      </c>
      <c r="T118" t="s">
        <v>416</v>
      </c>
      <c r="U118" t="s">
        <v>417</v>
      </c>
      <c r="V118" t="s">
        <v>418</v>
      </c>
      <c r="W118">
        <v>30</v>
      </c>
      <c r="X118" s="1">
        <v>46070.604550694581</v>
      </c>
    </row>
    <row r="119" spans="1:24" x14ac:dyDescent="0.2">
      <c r="A119" t="s">
        <v>419</v>
      </c>
      <c r="B119" t="s">
        <v>420</v>
      </c>
      <c r="C119" t="s">
        <v>25</v>
      </c>
      <c r="D119">
        <v>0</v>
      </c>
      <c r="E119" t="s">
        <v>421</v>
      </c>
      <c r="F119" t="s">
        <v>27</v>
      </c>
      <c r="G119" s="1">
        <v>46065</v>
      </c>
      <c r="H119" s="1">
        <v>46065</v>
      </c>
      <c r="I119">
        <v>0</v>
      </c>
      <c r="J119">
        <v>87040000</v>
      </c>
      <c r="K119">
        <v>0</v>
      </c>
      <c r="L119">
        <v>0</v>
      </c>
      <c r="M119">
        <v>0</v>
      </c>
      <c r="N119">
        <v>1</v>
      </c>
      <c r="O119">
        <f t="shared" si="1"/>
        <v>87040000</v>
      </c>
      <c r="P119" t="s">
        <v>28</v>
      </c>
      <c r="Q119" t="s">
        <v>422</v>
      </c>
      <c r="R119" t="s">
        <v>423</v>
      </c>
      <c r="S119" t="s">
        <v>32</v>
      </c>
      <c r="T119" t="s">
        <v>32</v>
      </c>
      <c r="U119" t="s">
        <v>424</v>
      </c>
      <c r="V119" t="s">
        <v>32</v>
      </c>
      <c r="W119">
        <v>0</v>
      </c>
      <c r="X119" s="1">
        <v>46065.638625081163</v>
      </c>
    </row>
    <row r="120" spans="1:24" x14ac:dyDescent="0.2">
      <c r="A120" t="s">
        <v>425</v>
      </c>
      <c r="B120" t="s">
        <v>426</v>
      </c>
      <c r="C120" t="s">
        <v>25</v>
      </c>
      <c r="D120">
        <v>0</v>
      </c>
      <c r="E120" t="s">
        <v>421</v>
      </c>
      <c r="F120" t="s">
        <v>27</v>
      </c>
      <c r="G120" s="1">
        <v>46077</v>
      </c>
      <c r="H120" s="1">
        <v>46104</v>
      </c>
      <c r="I120">
        <v>0</v>
      </c>
      <c r="J120">
        <v>92300000</v>
      </c>
      <c r="K120">
        <v>0</v>
      </c>
      <c r="L120">
        <v>0</v>
      </c>
      <c r="M120">
        <v>0</v>
      </c>
      <c r="N120">
        <v>1</v>
      </c>
      <c r="O120">
        <f t="shared" si="1"/>
        <v>92300000</v>
      </c>
      <c r="P120" t="s">
        <v>28</v>
      </c>
      <c r="Q120" t="s">
        <v>422</v>
      </c>
      <c r="R120" t="s">
        <v>423</v>
      </c>
      <c r="S120" t="s">
        <v>32</v>
      </c>
      <c r="T120" t="s">
        <v>32</v>
      </c>
      <c r="U120" t="s">
        <v>424</v>
      </c>
      <c r="V120" t="s">
        <v>32</v>
      </c>
      <c r="W120">
        <v>0</v>
      </c>
      <c r="X120" s="1">
        <v>46077.438509571832</v>
      </c>
    </row>
    <row r="121" spans="1:24" x14ac:dyDescent="0.2">
      <c r="A121" t="s">
        <v>427</v>
      </c>
      <c r="B121" t="s">
        <v>428</v>
      </c>
      <c r="C121" t="s">
        <v>25</v>
      </c>
      <c r="D121">
        <v>0</v>
      </c>
      <c r="E121" t="s">
        <v>421</v>
      </c>
      <c r="F121" t="s">
        <v>27</v>
      </c>
      <c r="G121" s="1">
        <v>46081</v>
      </c>
      <c r="H121" s="1">
        <v>46109</v>
      </c>
      <c r="I121">
        <v>0</v>
      </c>
      <c r="J121">
        <v>91000000</v>
      </c>
      <c r="K121">
        <v>0</v>
      </c>
      <c r="L121">
        <v>0</v>
      </c>
      <c r="M121">
        <v>0</v>
      </c>
      <c r="N121">
        <v>1</v>
      </c>
      <c r="O121">
        <f t="shared" si="1"/>
        <v>91000000</v>
      </c>
      <c r="P121" t="s">
        <v>28</v>
      </c>
      <c r="Q121" t="s">
        <v>422</v>
      </c>
      <c r="R121" t="s">
        <v>423</v>
      </c>
      <c r="S121" t="s">
        <v>32</v>
      </c>
      <c r="T121" t="s">
        <v>32</v>
      </c>
      <c r="U121" t="s">
        <v>424</v>
      </c>
      <c r="V121" t="s">
        <v>32</v>
      </c>
      <c r="W121">
        <v>0</v>
      </c>
      <c r="X121" s="1">
        <v>46083.32708050916</v>
      </c>
    </row>
    <row r="122" spans="1:24" x14ac:dyDescent="0.2">
      <c r="A122" t="s">
        <v>429</v>
      </c>
      <c r="B122" t="s">
        <v>430</v>
      </c>
      <c r="C122" t="s">
        <v>25</v>
      </c>
      <c r="D122">
        <v>0</v>
      </c>
      <c r="E122" t="s">
        <v>431</v>
      </c>
      <c r="F122" t="s">
        <v>27</v>
      </c>
      <c r="G122" s="1">
        <v>46079</v>
      </c>
      <c r="H122" s="1">
        <v>46109</v>
      </c>
      <c r="I122">
        <v>0</v>
      </c>
      <c r="J122">
        <v>22806247</v>
      </c>
      <c r="K122">
        <v>0</v>
      </c>
      <c r="L122">
        <v>0</v>
      </c>
      <c r="M122">
        <v>0</v>
      </c>
      <c r="N122">
        <v>1</v>
      </c>
      <c r="O122">
        <f t="shared" si="1"/>
        <v>22806247</v>
      </c>
      <c r="P122" t="s">
        <v>28</v>
      </c>
      <c r="Q122" t="s">
        <v>432</v>
      </c>
      <c r="R122" t="s">
        <v>433</v>
      </c>
      <c r="S122" t="s">
        <v>434</v>
      </c>
      <c r="T122" t="s">
        <v>435</v>
      </c>
      <c r="U122" t="s">
        <v>436</v>
      </c>
      <c r="V122" t="s">
        <v>437</v>
      </c>
      <c r="W122">
        <v>30</v>
      </c>
      <c r="X122" s="1">
        <v>46080.426787835546</v>
      </c>
    </row>
    <row r="123" spans="1:24" x14ac:dyDescent="0.2">
      <c r="A123" t="s">
        <v>438</v>
      </c>
      <c r="B123" t="s">
        <v>439</v>
      </c>
      <c r="C123" t="s">
        <v>25</v>
      </c>
      <c r="D123">
        <v>0</v>
      </c>
      <c r="E123" t="s">
        <v>431</v>
      </c>
      <c r="F123" t="s">
        <v>27</v>
      </c>
      <c r="G123" s="1">
        <v>46095</v>
      </c>
      <c r="H123" s="1">
        <v>46125</v>
      </c>
      <c r="I123">
        <v>57225739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f t="shared" si="1"/>
        <v>57225739</v>
      </c>
      <c r="P123" t="s">
        <v>28</v>
      </c>
      <c r="Q123" t="s">
        <v>432</v>
      </c>
      <c r="R123" t="s">
        <v>433</v>
      </c>
      <c r="S123" t="s">
        <v>434</v>
      </c>
      <c r="T123" t="s">
        <v>435</v>
      </c>
      <c r="U123" t="s">
        <v>436</v>
      </c>
      <c r="V123" t="s">
        <v>437</v>
      </c>
      <c r="W123">
        <v>30</v>
      </c>
      <c r="X123" s="1">
        <v>46095.557233796455</v>
      </c>
    </row>
    <row r="124" spans="1:24" x14ac:dyDescent="0.2">
      <c r="A124" t="s">
        <v>440</v>
      </c>
      <c r="B124" t="s">
        <v>441</v>
      </c>
      <c r="C124" t="s">
        <v>25</v>
      </c>
      <c r="D124">
        <v>0</v>
      </c>
      <c r="E124" t="s">
        <v>431</v>
      </c>
      <c r="F124" t="s">
        <v>27</v>
      </c>
      <c r="G124" s="1">
        <v>46097</v>
      </c>
      <c r="H124" s="1">
        <v>46127</v>
      </c>
      <c r="I124">
        <v>27153951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f t="shared" si="1"/>
        <v>27153951</v>
      </c>
      <c r="P124" t="s">
        <v>28</v>
      </c>
      <c r="Q124" t="s">
        <v>432</v>
      </c>
      <c r="R124" t="s">
        <v>433</v>
      </c>
      <c r="S124" t="s">
        <v>434</v>
      </c>
      <c r="T124" t="s">
        <v>435</v>
      </c>
      <c r="U124" t="s">
        <v>436</v>
      </c>
      <c r="V124" t="s">
        <v>437</v>
      </c>
      <c r="W124">
        <v>30</v>
      </c>
      <c r="X124" s="1">
        <v>46097.613576388918</v>
      </c>
    </row>
    <row r="125" spans="1:24" x14ac:dyDescent="0.2">
      <c r="A125" t="s">
        <v>442</v>
      </c>
      <c r="B125" t="s">
        <v>443</v>
      </c>
      <c r="C125" t="s">
        <v>25</v>
      </c>
      <c r="D125">
        <v>0</v>
      </c>
      <c r="E125" t="s">
        <v>431</v>
      </c>
      <c r="F125" t="s">
        <v>27</v>
      </c>
      <c r="G125" s="1">
        <v>46097</v>
      </c>
      <c r="H125" s="1">
        <v>46127</v>
      </c>
      <c r="I125">
        <v>41649234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f t="shared" si="1"/>
        <v>41649234</v>
      </c>
      <c r="P125" t="s">
        <v>28</v>
      </c>
      <c r="Q125" t="s">
        <v>432</v>
      </c>
      <c r="R125" t="s">
        <v>433</v>
      </c>
      <c r="S125" t="s">
        <v>434</v>
      </c>
      <c r="T125" t="s">
        <v>435</v>
      </c>
      <c r="U125" t="s">
        <v>436</v>
      </c>
      <c r="V125" t="s">
        <v>437</v>
      </c>
      <c r="W125">
        <v>30</v>
      </c>
      <c r="X125" s="1">
        <v>46097.615231469739</v>
      </c>
    </row>
    <row r="126" spans="1:24" x14ac:dyDescent="0.2">
      <c r="A126" t="s">
        <v>444</v>
      </c>
      <c r="B126" t="s">
        <v>445</v>
      </c>
      <c r="C126" t="s">
        <v>25</v>
      </c>
      <c r="D126">
        <v>0</v>
      </c>
      <c r="E126" t="s">
        <v>446</v>
      </c>
      <c r="F126" t="s">
        <v>27</v>
      </c>
      <c r="G126" s="1">
        <v>46066</v>
      </c>
      <c r="H126" s="1">
        <v>46096</v>
      </c>
      <c r="I126">
        <v>0</v>
      </c>
      <c r="J126">
        <v>31193993</v>
      </c>
      <c r="K126">
        <v>0</v>
      </c>
      <c r="L126">
        <v>0</v>
      </c>
      <c r="M126">
        <v>0</v>
      </c>
      <c r="N126">
        <v>1</v>
      </c>
      <c r="O126">
        <f t="shared" si="1"/>
        <v>31193993</v>
      </c>
      <c r="P126" t="s">
        <v>28</v>
      </c>
      <c r="Q126" t="s">
        <v>447</v>
      </c>
      <c r="R126" t="s">
        <v>448</v>
      </c>
      <c r="S126" t="s">
        <v>32</v>
      </c>
      <c r="T126" t="s">
        <v>32</v>
      </c>
      <c r="U126" t="s">
        <v>449</v>
      </c>
      <c r="V126" t="s">
        <v>450</v>
      </c>
      <c r="W126">
        <v>30</v>
      </c>
      <c r="X126" s="1">
        <v>46066.681141203735</v>
      </c>
    </row>
    <row r="127" spans="1:24" x14ac:dyDescent="0.2">
      <c r="A127" t="s">
        <v>451</v>
      </c>
      <c r="B127" t="s">
        <v>452</v>
      </c>
      <c r="C127" t="s">
        <v>25</v>
      </c>
      <c r="D127">
        <v>0</v>
      </c>
      <c r="E127" t="s">
        <v>446</v>
      </c>
      <c r="F127" t="s">
        <v>27</v>
      </c>
      <c r="G127" s="1">
        <v>46080</v>
      </c>
      <c r="H127" s="1">
        <v>46110</v>
      </c>
      <c r="I127">
        <v>0</v>
      </c>
      <c r="J127">
        <v>42365400</v>
      </c>
      <c r="K127">
        <v>0</v>
      </c>
      <c r="L127">
        <v>0</v>
      </c>
      <c r="M127">
        <v>0</v>
      </c>
      <c r="N127">
        <v>1</v>
      </c>
      <c r="O127">
        <f t="shared" si="1"/>
        <v>42365400</v>
      </c>
      <c r="P127" t="s">
        <v>28</v>
      </c>
      <c r="Q127" t="s">
        <v>447</v>
      </c>
      <c r="R127" t="s">
        <v>448</v>
      </c>
      <c r="S127" t="s">
        <v>32</v>
      </c>
      <c r="T127" t="s">
        <v>32</v>
      </c>
      <c r="U127" t="s">
        <v>449</v>
      </c>
      <c r="V127" t="s">
        <v>450</v>
      </c>
      <c r="W127">
        <v>30</v>
      </c>
      <c r="X127" s="1">
        <v>46080.613871875219</v>
      </c>
    </row>
    <row r="128" spans="1:24" x14ac:dyDescent="0.2">
      <c r="A128" t="s">
        <v>453</v>
      </c>
      <c r="B128" t="s">
        <v>454</v>
      </c>
      <c r="C128" t="s">
        <v>25</v>
      </c>
      <c r="D128">
        <v>0</v>
      </c>
      <c r="E128" t="s">
        <v>446</v>
      </c>
      <c r="F128" t="s">
        <v>27</v>
      </c>
      <c r="G128" s="1">
        <v>46095</v>
      </c>
      <c r="H128" s="1">
        <v>46125</v>
      </c>
      <c r="I128">
        <v>33762590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f t="shared" si="1"/>
        <v>33762590</v>
      </c>
      <c r="P128" t="s">
        <v>28</v>
      </c>
      <c r="Q128" t="s">
        <v>447</v>
      </c>
      <c r="R128" t="s">
        <v>448</v>
      </c>
      <c r="S128" t="s">
        <v>32</v>
      </c>
      <c r="T128" t="s">
        <v>32</v>
      </c>
      <c r="U128" t="s">
        <v>449</v>
      </c>
      <c r="V128" t="s">
        <v>450</v>
      </c>
      <c r="W128">
        <v>30</v>
      </c>
      <c r="X128" s="1">
        <v>46095.440011562314</v>
      </c>
    </row>
    <row r="129" spans="1:24" x14ac:dyDescent="0.2">
      <c r="A129" t="s">
        <v>455</v>
      </c>
      <c r="B129" t="s">
        <v>456</v>
      </c>
      <c r="C129" t="s">
        <v>25</v>
      </c>
      <c r="D129">
        <v>0</v>
      </c>
      <c r="E129" t="s">
        <v>457</v>
      </c>
      <c r="F129" t="s">
        <v>27</v>
      </c>
      <c r="G129" s="1">
        <v>46071</v>
      </c>
      <c r="H129" s="1">
        <v>46101</v>
      </c>
      <c r="I129">
        <v>0</v>
      </c>
      <c r="J129">
        <v>62655750</v>
      </c>
      <c r="K129">
        <v>0</v>
      </c>
      <c r="L129">
        <v>0</v>
      </c>
      <c r="M129">
        <v>0</v>
      </c>
      <c r="N129">
        <v>1</v>
      </c>
      <c r="O129">
        <f t="shared" si="1"/>
        <v>62655750</v>
      </c>
      <c r="P129" t="s">
        <v>28</v>
      </c>
      <c r="Q129" t="s">
        <v>458</v>
      </c>
      <c r="R129" t="s">
        <v>459</v>
      </c>
      <c r="S129" t="s">
        <v>113</v>
      </c>
      <c r="T129" t="s">
        <v>460</v>
      </c>
      <c r="U129" t="s">
        <v>461</v>
      </c>
      <c r="V129" t="s">
        <v>462</v>
      </c>
      <c r="W129">
        <v>30</v>
      </c>
      <c r="X129" s="1">
        <v>46071.603418634273</v>
      </c>
    </row>
    <row r="130" spans="1:24" x14ac:dyDescent="0.2">
      <c r="A130" t="s">
        <v>463</v>
      </c>
      <c r="B130" t="s">
        <v>464</v>
      </c>
      <c r="C130" t="s">
        <v>25</v>
      </c>
      <c r="D130">
        <v>0</v>
      </c>
      <c r="E130" t="s">
        <v>457</v>
      </c>
      <c r="F130" t="s">
        <v>27</v>
      </c>
      <c r="G130" s="1">
        <v>46071</v>
      </c>
      <c r="H130" s="1">
        <v>46101</v>
      </c>
      <c r="I130">
        <v>0</v>
      </c>
      <c r="J130">
        <v>1333737</v>
      </c>
      <c r="K130">
        <v>0</v>
      </c>
      <c r="L130">
        <v>0</v>
      </c>
      <c r="M130">
        <v>0</v>
      </c>
      <c r="N130">
        <v>1</v>
      </c>
      <c r="O130">
        <f t="shared" si="1"/>
        <v>1333737</v>
      </c>
      <c r="P130" t="s">
        <v>28</v>
      </c>
      <c r="Q130" t="s">
        <v>458</v>
      </c>
      <c r="R130" t="s">
        <v>459</v>
      </c>
      <c r="S130" t="s">
        <v>113</v>
      </c>
      <c r="T130" t="s">
        <v>460</v>
      </c>
      <c r="U130" t="s">
        <v>461</v>
      </c>
      <c r="V130" t="s">
        <v>462</v>
      </c>
      <c r="W130">
        <v>30</v>
      </c>
      <c r="X130" s="1">
        <v>46071.604161111172</v>
      </c>
    </row>
    <row r="131" spans="1:24" x14ac:dyDescent="0.2">
      <c r="A131" t="s">
        <v>465</v>
      </c>
      <c r="B131" t="s">
        <v>466</v>
      </c>
      <c r="C131" t="s">
        <v>25</v>
      </c>
      <c r="D131">
        <v>0</v>
      </c>
      <c r="E131" t="s">
        <v>457</v>
      </c>
      <c r="F131" t="s">
        <v>27</v>
      </c>
      <c r="G131" s="1">
        <v>46073</v>
      </c>
      <c r="H131" s="1">
        <v>46103</v>
      </c>
      <c r="I131">
        <v>0</v>
      </c>
      <c r="J131">
        <v>16742752</v>
      </c>
      <c r="K131">
        <v>0</v>
      </c>
      <c r="L131">
        <v>0</v>
      </c>
      <c r="M131">
        <v>0</v>
      </c>
      <c r="N131">
        <v>1</v>
      </c>
      <c r="O131">
        <f t="shared" si="1"/>
        <v>16742752</v>
      </c>
      <c r="P131" t="s">
        <v>28</v>
      </c>
      <c r="Q131" t="s">
        <v>458</v>
      </c>
      <c r="R131" t="s">
        <v>459</v>
      </c>
      <c r="S131" t="s">
        <v>113</v>
      </c>
      <c r="T131" t="s">
        <v>460</v>
      </c>
      <c r="U131" t="s">
        <v>461</v>
      </c>
      <c r="V131" t="s">
        <v>462</v>
      </c>
      <c r="W131">
        <v>30</v>
      </c>
      <c r="X131" s="1">
        <v>46073.691940150689</v>
      </c>
    </row>
    <row r="132" spans="1:24" x14ac:dyDescent="0.2">
      <c r="A132" t="s">
        <v>467</v>
      </c>
      <c r="B132" t="s">
        <v>468</v>
      </c>
      <c r="C132" t="s">
        <v>25</v>
      </c>
      <c r="D132">
        <v>0</v>
      </c>
      <c r="E132" t="s">
        <v>457</v>
      </c>
      <c r="F132" t="s">
        <v>27</v>
      </c>
      <c r="G132" s="1">
        <v>46080</v>
      </c>
      <c r="H132" s="1">
        <v>46110</v>
      </c>
      <c r="I132">
        <v>0</v>
      </c>
      <c r="J132">
        <v>6266376</v>
      </c>
      <c r="K132">
        <v>0</v>
      </c>
      <c r="L132">
        <v>0</v>
      </c>
      <c r="M132">
        <v>0</v>
      </c>
      <c r="N132">
        <v>1</v>
      </c>
      <c r="O132">
        <f t="shared" ref="O132:O195" si="2">+J132+I132-K132+L132</f>
        <v>6266376</v>
      </c>
      <c r="P132" t="s">
        <v>28</v>
      </c>
      <c r="Q132" t="s">
        <v>458</v>
      </c>
      <c r="R132" t="s">
        <v>459</v>
      </c>
      <c r="S132" t="s">
        <v>113</v>
      </c>
      <c r="T132" t="s">
        <v>460</v>
      </c>
      <c r="U132" t="s">
        <v>461</v>
      </c>
      <c r="V132" t="s">
        <v>462</v>
      </c>
      <c r="W132">
        <v>30</v>
      </c>
      <c r="X132" s="1">
        <v>46080.623596515972</v>
      </c>
    </row>
    <row r="133" spans="1:24" x14ac:dyDescent="0.2">
      <c r="A133" t="s">
        <v>469</v>
      </c>
      <c r="B133" t="s">
        <v>470</v>
      </c>
      <c r="C133" t="s">
        <v>25</v>
      </c>
      <c r="D133">
        <v>0</v>
      </c>
      <c r="E133" t="s">
        <v>457</v>
      </c>
      <c r="F133" t="s">
        <v>27</v>
      </c>
      <c r="G133" s="1">
        <v>46080</v>
      </c>
      <c r="H133" s="1">
        <v>46110</v>
      </c>
      <c r="I133">
        <v>0</v>
      </c>
      <c r="J133">
        <v>6055756</v>
      </c>
      <c r="K133">
        <v>0</v>
      </c>
      <c r="L133">
        <v>0</v>
      </c>
      <c r="M133">
        <v>0</v>
      </c>
      <c r="N133">
        <v>1</v>
      </c>
      <c r="O133">
        <f t="shared" si="2"/>
        <v>6055756</v>
      </c>
      <c r="P133" t="s">
        <v>28</v>
      </c>
      <c r="Q133" t="s">
        <v>458</v>
      </c>
      <c r="R133" t="s">
        <v>459</v>
      </c>
      <c r="S133" t="s">
        <v>113</v>
      </c>
      <c r="T133" t="s">
        <v>460</v>
      </c>
      <c r="U133" t="s">
        <v>461</v>
      </c>
      <c r="V133" t="s">
        <v>462</v>
      </c>
      <c r="W133">
        <v>30</v>
      </c>
      <c r="X133" s="1">
        <v>46080.632237997837</v>
      </c>
    </row>
    <row r="134" spans="1:24" x14ac:dyDescent="0.2">
      <c r="A134" t="s">
        <v>471</v>
      </c>
      <c r="B134" t="s">
        <v>472</v>
      </c>
      <c r="C134" t="s">
        <v>25</v>
      </c>
      <c r="D134">
        <v>0</v>
      </c>
      <c r="E134" t="s">
        <v>457</v>
      </c>
      <c r="F134" t="s">
        <v>27</v>
      </c>
      <c r="G134" s="1">
        <v>46081</v>
      </c>
      <c r="H134" s="1">
        <v>46111</v>
      </c>
      <c r="I134">
        <v>0</v>
      </c>
      <c r="J134">
        <v>328060</v>
      </c>
      <c r="K134">
        <v>0</v>
      </c>
      <c r="L134">
        <v>0</v>
      </c>
      <c r="M134">
        <v>0</v>
      </c>
      <c r="N134">
        <v>1</v>
      </c>
      <c r="O134">
        <f t="shared" si="2"/>
        <v>328060</v>
      </c>
      <c r="P134" t="s">
        <v>28</v>
      </c>
      <c r="Q134" t="s">
        <v>458</v>
      </c>
      <c r="R134" t="s">
        <v>459</v>
      </c>
      <c r="S134" t="s">
        <v>113</v>
      </c>
      <c r="T134" t="s">
        <v>460</v>
      </c>
      <c r="U134" t="s">
        <v>461</v>
      </c>
      <c r="V134" t="s">
        <v>462</v>
      </c>
      <c r="W134">
        <v>30</v>
      </c>
      <c r="X134" s="1">
        <v>46083.328328206204</v>
      </c>
    </row>
    <row r="135" spans="1:24" x14ac:dyDescent="0.2">
      <c r="A135" t="s">
        <v>473</v>
      </c>
      <c r="B135" t="s">
        <v>474</v>
      </c>
      <c r="C135" t="s">
        <v>25</v>
      </c>
      <c r="D135">
        <v>0</v>
      </c>
      <c r="E135" t="s">
        <v>457</v>
      </c>
      <c r="F135" t="s">
        <v>27</v>
      </c>
      <c r="G135" s="1">
        <v>46090</v>
      </c>
      <c r="H135" s="1">
        <v>46120</v>
      </c>
      <c r="I135">
        <v>29849760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f t="shared" si="2"/>
        <v>29849760</v>
      </c>
      <c r="P135" t="s">
        <v>28</v>
      </c>
      <c r="Q135" t="s">
        <v>458</v>
      </c>
      <c r="R135" t="s">
        <v>459</v>
      </c>
      <c r="S135" t="s">
        <v>113</v>
      </c>
      <c r="T135" t="s">
        <v>460</v>
      </c>
      <c r="U135" t="s">
        <v>461</v>
      </c>
      <c r="V135" t="s">
        <v>462</v>
      </c>
      <c r="W135">
        <v>30</v>
      </c>
      <c r="X135" s="1">
        <v>46090.435820092447</v>
      </c>
    </row>
    <row r="136" spans="1:24" x14ac:dyDescent="0.2">
      <c r="A136" t="s">
        <v>475</v>
      </c>
      <c r="B136" t="s">
        <v>476</v>
      </c>
      <c r="C136" t="s">
        <v>25</v>
      </c>
      <c r="D136">
        <v>0</v>
      </c>
      <c r="E136" t="s">
        <v>457</v>
      </c>
      <c r="F136" t="s">
        <v>27</v>
      </c>
      <c r="G136" s="1">
        <v>46090</v>
      </c>
      <c r="H136" s="1">
        <v>46120</v>
      </c>
      <c r="I136">
        <v>10952504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f t="shared" si="2"/>
        <v>10952504</v>
      </c>
      <c r="P136" t="s">
        <v>28</v>
      </c>
      <c r="Q136" t="s">
        <v>458</v>
      </c>
      <c r="R136" t="s">
        <v>459</v>
      </c>
      <c r="S136" t="s">
        <v>113</v>
      </c>
      <c r="T136" t="s">
        <v>460</v>
      </c>
      <c r="U136" t="s">
        <v>461</v>
      </c>
      <c r="V136" t="s">
        <v>462</v>
      </c>
      <c r="W136">
        <v>30</v>
      </c>
      <c r="X136" s="1">
        <v>46090.437091817148</v>
      </c>
    </row>
    <row r="137" spans="1:24" x14ac:dyDescent="0.2">
      <c r="A137" t="s">
        <v>477</v>
      </c>
      <c r="B137" t="s">
        <v>478</v>
      </c>
      <c r="C137" t="s">
        <v>25</v>
      </c>
      <c r="D137">
        <v>0</v>
      </c>
      <c r="E137" t="s">
        <v>457</v>
      </c>
      <c r="F137" t="s">
        <v>27</v>
      </c>
      <c r="G137" s="1">
        <v>46094</v>
      </c>
      <c r="H137" s="1">
        <v>46124</v>
      </c>
      <c r="I137">
        <v>7543766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f t="shared" si="2"/>
        <v>7543766</v>
      </c>
      <c r="P137" t="s">
        <v>28</v>
      </c>
      <c r="Q137" t="s">
        <v>458</v>
      </c>
      <c r="R137" t="s">
        <v>459</v>
      </c>
      <c r="S137" t="s">
        <v>113</v>
      </c>
      <c r="T137" t="s">
        <v>460</v>
      </c>
      <c r="U137" t="s">
        <v>461</v>
      </c>
      <c r="V137" t="s">
        <v>462</v>
      </c>
      <c r="W137">
        <v>30</v>
      </c>
      <c r="X137" s="1">
        <v>46094.59671820607</v>
      </c>
    </row>
    <row r="138" spans="1:24" x14ac:dyDescent="0.2">
      <c r="A138" t="s">
        <v>479</v>
      </c>
      <c r="B138" t="s">
        <v>480</v>
      </c>
      <c r="C138" t="s">
        <v>25</v>
      </c>
      <c r="D138">
        <v>0</v>
      </c>
      <c r="E138" t="s">
        <v>457</v>
      </c>
      <c r="F138" t="s">
        <v>27</v>
      </c>
      <c r="G138" s="1">
        <v>46094</v>
      </c>
      <c r="H138" s="1">
        <v>46124</v>
      </c>
      <c r="I138">
        <v>5229324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f t="shared" si="2"/>
        <v>5229324</v>
      </c>
      <c r="P138" t="s">
        <v>28</v>
      </c>
      <c r="Q138" t="s">
        <v>458</v>
      </c>
      <c r="R138" t="s">
        <v>459</v>
      </c>
      <c r="S138" t="s">
        <v>113</v>
      </c>
      <c r="T138" t="s">
        <v>460</v>
      </c>
      <c r="U138" t="s">
        <v>461</v>
      </c>
      <c r="V138" t="s">
        <v>462</v>
      </c>
      <c r="W138">
        <v>30</v>
      </c>
      <c r="X138" s="1">
        <v>46094.59776885435</v>
      </c>
    </row>
    <row r="139" spans="1:24" x14ac:dyDescent="0.2">
      <c r="A139" t="s">
        <v>481</v>
      </c>
      <c r="B139" t="s">
        <v>482</v>
      </c>
      <c r="C139" t="s">
        <v>25</v>
      </c>
      <c r="D139">
        <v>0</v>
      </c>
      <c r="E139" t="s">
        <v>457</v>
      </c>
      <c r="F139" t="s">
        <v>27</v>
      </c>
      <c r="G139" s="1">
        <v>46099</v>
      </c>
      <c r="H139" s="1">
        <v>46129</v>
      </c>
      <c r="I139">
        <v>500000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f t="shared" si="2"/>
        <v>500000</v>
      </c>
      <c r="P139" t="s">
        <v>28</v>
      </c>
      <c r="Q139" t="s">
        <v>458</v>
      </c>
      <c r="R139" t="s">
        <v>459</v>
      </c>
      <c r="S139" t="s">
        <v>113</v>
      </c>
      <c r="T139" t="s">
        <v>460</v>
      </c>
      <c r="U139" t="s">
        <v>461</v>
      </c>
      <c r="V139" t="s">
        <v>462</v>
      </c>
      <c r="W139">
        <v>30</v>
      </c>
      <c r="X139" s="1">
        <v>46099.346736111213</v>
      </c>
    </row>
    <row r="140" spans="1:24" x14ac:dyDescent="0.2">
      <c r="A140" t="s">
        <v>47</v>
      </c>
      <c r="B140" t="s">
        <v>483</v>
      </c>
      <c r="C140" t="s">
        <v>25</v>
      </c>
      <c r="D140">
        <v>0</v>
      </c>
      <c r="E140" t="s">
        <v>484</v>
      </c>
      <c r="F140" t="s">
        <v>27</v>
      </c>
      <c r="G140" s="1">
        <v>46093</v>
      </c>
      <c r="H140" s="1">
        <v>46093</v>
      </c>
      <c r="I140">
        <v>80000</v>
      </c>
      <c r="J140">
        <v>0</v>
      </c>
      <c r="K140">
        <v>225000</v>
      </c>
      <c r="L140">
        <v>0</v>
      </c>
      <c r="M140">
        <v>1</v>
      </c>
      <c r="N140">
        <v>0</v>
      </c>
      <c r="O140">
        <f t="shared" si="2"/>
        <v>-145000</v>
      </c>
      <c r="P140" t="s">
        <v>28</v>
      </c>
      <c r="Q140" t="s">
        <v>485</v>
      </c>
      <c r="R140" t="s">
        <v>486</v>
      </c>
      <c r="S140" t="s">
        <v>32</v>
      </c>
      <c r="T140" t="s">
        <v>32</v>
      </c>
      <c r="U140" t="s">
        <v>32</v>
      </c>
      <c r="V140" t="s">
        <v>32</v>
      </c>
      <c r="W140">
        <v>0</v>
      </c>
      <c r="X140" s="1">
        <v>46097.682534710504</v>
      </c>
    </row>
    <row r="141" spans="1:24" x14ac:dyDescent="0.2">
      <c r="A141" t="s">
        <v>487</v>
      </c>
      <c r="B141" t="s">
        <v>488</v>
      </c>
      <c r="C141" t="s">
        <v>25</v>
      </c>
      <c r="D141">
        <v>0</v>
      </c>
      <c r="E141" t="s">
        <v>489</v>
      </c>
      <c r="F141" t="s">
        <v>27</v>
      </c>
      <c r="G141" s="1">
        <v>46023</v>
      </c>
      <c r="H141" s="1">
        <v>46023</v>
      </c>
      <c r="I141">
        <v>0</v>
      </c>
      <c r="J141">
        <v>140000</v>
      </c>
      <c r="K141">
        <v>0</v>
      </c>
      <c r="L141">
        <v>0</v>
      </c>
      <c r="M141">
        <v>1</v>
      </c>
      <c r="N141">
        <v>1</v>
      </c>
      <c r="O141">
        <f t="shared" si="2"/>
        <v>140000</v>
      </c>
      <c r="P141" t="s">
        <v>28</v>
      </c>
      <c r="Q141" t="s">
        <v>490</v>
      </c>
      <c r="R141" t="s">
        <v>491</v>
      </c>
      <c r="S141" t="s">
        <v>32</v>
      </c>
      <c r="T141" t="s">
        <v>32</v>
      </c>
      <c r="U141" t="s">
        <v>492</v>
      </c>
      <c r="V141" t="s">
        <v>32</v>
      </c>
      <c r="W141">
        <v>0</v>
      </c>
      <c r="X141" s="1">
        <v>46027.629930358846</v>
      </c>
    </row>
    <row r="142" spans="1:24" x14ac:dyDescent="0.2">
      <c r="A142" t="s">
        <v>493</v>
      </c>
      <c r="B142" t="s">
        <v>494</v>
      </c>
      <c r="C142" t="s">
        <v>25</v>
      </c>
      <c r="D142">
        <v>0</v>
      </c>
      <c r="E142" t="s">
        <v>495</v>
      </c>
      <c r="F142" t="s">
        <v>27</v>
      </c>
      <c r="G142" s="1">
        <v>46076</v>
      </c>
      <c r="H142" s="1">
        <v>46106</v>
      </c>
      <c r="I142">
        <v>0</v>
      </c>
      <c r="J142">
        <v>16592700</v>
      </c>
      <c r="K142">
        <v>0</v>
      </c>
      <c r="L142">
        <v>0</v>
      </c>
      <c r="M142">
        <v>0</v>
      </c>
      <c r="N142">
        <v>1</v>
      </c>
      <c r="O142">
        <f t="shared" si="2"/>
        <v>16592700</v>
      </c>
      <c r="P142" t="s">
        <v>28</v>
      </c>
      <c r="Q142" t="s">
        <v>496</v>
      </c>
      <c r="R142" t="s">
        <v>497</v>
      </c>
      <c r="S142" t="s">
        <v>32</v>
      </c>
      <c r="T142" t="s">
        <v>498</v>
      </c>
      <c r="U142" t="s">
        <v>498</v>
      </c>
      <c r="V142" t="s">
        <v>499</v>
      </c>
      <c r="W142">
        <v>30</v>
      </c>
      <c r="X142" s="1">
        <v>46076.36363232648</v>
      </c>
    </row>
    <row r="143" spans="1:24" x14ac:dyDescent="0.2">
      <c r="A143" t="s">
        <v>500</v>
      </c>
      <c r="B143" t="s">
        <v>501</v>
      </c>
      <c r="C143" t="s">
        <v>25</v>
      </c>
      <c r="D143">
        <v>0</v>
      </c>
      <c r="E143" t="s">
        <v>495</v>
      </c>
      <c r="F143" t="s">
        <v>27</v>
      </c>
      <c r="G143" s="1">
        <v>46076</v>
      </c>
      <c r="H143" s="1">
        <v>46106</v>
      </c>
      <c r="I143">
        <v>0</v>
      </c>
      <c r="J143">
        <v>12936750</v>
      </c>
      <c r="K143">
        <v>0</v>
      </c>
      <c r="L143">
        <v>0</v>
      </c>
      <c r="M143">
        <v>0</v>
      </c>
      <c r="N143">
        <v>1</v>
      </c>
      <c r="O143">
        <f t="shared" si="2"/>
        <v>12936750</v>
      </c>
      <c r="P143" t="s">
        <v>28</v>
      </c>
      <c r="Q143" t="s">
        <v>496</v>
      </c>
      <c r="R143" t="s">
        <v>497</v>
      </c>
      <c r="S143" t="s">
        <v>32</v>
      </c>
      <c r="T143" t="s">
        <v>498</v>
      </c>
      <c r="U143" t="s">
        <v>498</v>
      </c>
      <c r="V143" t="s">
        <v>499</v>
      </c>
      <c r="W143">
        <v>30</v>
      </c>
      <c r="X143" s="1">
        <v>46076.364498229232</v>
      </c>
    </row>
    <row r="144" spans="1:24" x14ac:dyDescent="0.2">
      <c r="A144" t="s">
        <v>502</v>
      </c>
      <c r="B144" t="s">
        <v>503</v>
      </c>
      <c r="C144" t="s">
        <v>25</v>
      </c>
      <c r="D144">
        <v>0</v>
      </c>
      <c r="E144" t="s">
        <v>495</v>
      </c>
      <c r="F144" t="s">
        <v>27</v>
      </c>
      <c r="G144" s="1">
        <v>46076</v>
      </c>
      <c r="H144" s="1">
        <v>46106</v>
      </c>
      <c r="I144">
        <v>0</v>
      </c>
      <c r="J144">
        <v>57258736</v>
      </c>
      <c r="K144">
        <v>0</v>
      </c>
      <c r="L144">
        <v>0</v>
      </c>
      <c r="M144">
        <v>0</v>
      </c>
      <c r="N144">
        <v>1</v>
      </c>
      <c r="O144">
        <f t="shared" si="2"/>
        <v>57258736</v>
      </c>
      <c r="P144" t="s">
        <v>28</v>
      </c>
      <c r="Q144" t="s">
        <v>496</v>
      </c>
      <c r="R144" t="s">
        <v>497</v>
      </c>
      <c r="S144" t="s">
        <v>32</v>
      </c>
      <c r="T144" t="s">
        <v>498</v>
      </c>
      <c r="U144" t="s">
        <v>498</v>
      </c>
      <c r="V144" t="s">
        <v>499</v>
      </c>
      <c r="W144">
        <v>30</v>
      </c>
      <c r="X144" s="1">
        <v>46076.366179652978</v>
      </c>
    </row>
    <row r="145" spans="1:24" x14ac:dyDescent="0.2">
      <c r="A145" t="s">
        <v>504</v>
      </c>
      <c r="B145" t="s">
        <v>505</v>
      </c>
      <c r="C145" t="s">
        <v>25</v>
      </c>
      <c r="D145">
        <v>0</v>
      </c>
      <c r="E145" t="s">
        <v>495</v>
      </c>
      <c r="F145" t="s">
        <v>27</v>
      </c>
      <c r="G145" s="1">
        <v>46076</v>
      </c>
      <c r="H145" s="1">
        <v>46106</v>
      </c>
      <c r="I145">
        <v>0</v>
      </c>
      <c r="J145">
        <v>12295950</v>
      </c>
      <c r="K145">
        <v>0</v>
      </c>
      <c r="L145">
        <v>0</v>
      </c>
      <c r="M145">
        <v>0</v>
      </c>
      <c r="N145">
        <v>1</v>
      </c>
      <c r="O145">
        <f t="shared" si="2"/>
        <v>12295950</v>
      </c>
      <c r="P145" t="s">
        <v>28</v>
      </c>
      <c r="Q145" t="s">
        <v>496</v>
      </c>
      <c r="R145" t="s">
        <v>497</v>
      </c>
      <c r="S145" t="s">
        <v>32</v>
      </c>
      <c r="T145" t="s">
        <v>498</v>
      </c>
      <c r="U145" t="s">
        <v>498</v>
      </c>
      <c r="V145" t="s">
        <v>499</v>
      </c>
      <c r="W145">
        <v>30</v>
      </c>
      <c r="X145" s="1">
        <v>46076.367109525483</v>
      </c>
    </row>
    <row r="146" spans="1:24" x14ac:dyDescent="0.2">
      <c r="A146" t="s">
        <v>506</v>
      </c>
      <c r="B146" t="s">
        <v>507</v>
      </c>
      <c r="C146" t="s">
        <v>25</v>
      </c>
      <c r="D146">
        <v>0</v>
      </c>
      <c r="E146" t="s">
        <v>495</v>
      </c>
      <c r="F146" t="s">
        <v>27</v>
      </c>
      <c r="G146" s="1">
        <v>46092</v>
      </c>
      <c r="H146" s="1">
        <v>46122</v>
      </c>
      <c r="I146">
        <v>20207400</v>
      </c>
      <c r="J146">
        <v>0</v>
      </c>
      <c r="K146">
        <v>471860</v>
      </c>
      <c r="L146">
        <v>0</v>
      </c>
      <c r="M146">
        <v>0</v>
      </c>
      <c r="N146">
        <v>0</v>
      </c>
      <c r="O146">
        <f t="shared" si="2"/>
        <v>19735540</v>
      </c>
      <c r="P146" t="s">
        <v>28</v>
      </c>
      <c r="Q146" t="s">
        <v>496</v>
      </c>
      <c r="R146" t="s">
        <v>497</v>
      </c>
      <c r="S146" t="s">
        <v>32</v>
      </c>
      <c r="T146" t="s">
        <v>498</v>
      </c>
      <c r="U146" t="s">
        <v>498</v>
      </c>
      <c r="V146" t="s">
        <v>499</v>
      </c>
      <c r="W146">
        <v>30</v>
      </c>
      <c r="X146" s="1">
        <v>46092.683558368124</v>
      </c>
    </row>
    <row r="147" spans="1:24" x14ac:dyDescent="0.2">
      <c r="A147" t="s">
        <v>508</v>
      </c>
      <c r="B147" t="s">
        <v>509</v>
      </c>
      <c r="C147" t="s">
        <v>25</v>
      </c>
      <c r="D147">
        <v>0</v>
      </c>
      <c r="E147" t="s">
        <v>495</v>
      </c>
      <c r="F147" t="s">
        <v>27</v>
      </c>
      <c r="G147" s="1">
        <v>46092</v>
      </c>
      <c r="H147" s="1">
        <v>46122</v>
      </c>
      <c r="I147">
        <v>65607200</v>
      </c>
      <c r="J147">
        <v>0</v>
      </c>
      <c r="K147">
        <v>824229</v>
      </c>
      <c r="L147">
        <v>0</v>
      </c>
      <c r="M147">
        <v>0</v>
      </c>
      <c r="N147">
        <v>0</v>
      </c>
      <c r="O147">
        <f t="shared" si="2"/>
        <v>64782971</v>
      </c>
      <c r="P147" t="s">
        <v>28</v>
      </c>
      <c r="Q147" t="s">
        <v>496</v>
      </c>
      <c r="R147" t="s">
        <v>497</v>
      </c>
      <c r="S147" t="s">
        <v>32</v>
      </c>
      <c r="T147" t="s">
        <v>498</v>
      </c>
      <c r="U147" t="s">
        <v>498</v>
      </c>
      <c r="V147" t="s">
        <v>499</v>
      </c>
      <c r="W147">
        <v>30</v>
      </c>
      <c r="X147" s="1">
        <v>46092.686151111033</v>
      </c>
    </row>
    <row r="148" spans="1:24" x14ac:dyDescent="0.2">
      <c r="A148" t="s">
        <v>510</v>
      </c>
      <c r="B148" t="s">
        <v>511</v>
      </c>
      <c r="C148" t="s">
        <v>25</v>
      </c>
      <c r="D148">
        <v>0</v>
      </c>
      <c r="E148" t="s">
        <v>512</v>
      </c>
      <c r="F148" t="s">
        <v>513</v>
      </c>
      <c r="G148" s="1">
        <v>46004</v>
      </c>
      <c r="H148" s="1">
        <v>46004</v>
      </c>
      <c r="I148">
        <v>0</v>
      </c>
      <c r="J148">
        <v>70000</v>
      </c>
      <c r="K148">
        <v>0</v>
      </c>
      <c r="L148">
        <v>0</v>
      </c>
      <c r="M148">
        <v>1</v>
      </c>
      <c r="N148">
        <v>1</v>
      </c>
      <c r="O148">
        <f t="shared" si="2"/>
        <v>70000</v>
      </c>
      <c r="P148" t="s">
        <v>28</v>
      </c>
      <c r="Q148" t="s">
        <v>514</v>
      </c>
      <c r="R148" t="s">
        <v>515</v>
      </c>
      <c r="S148" t="s">
        <v>32</v>
      </c>
      <c r="T148" t="s">
        <v>516</v>
      </c>
      <c r="U148" t="s">
        <v>517</v>
      </c>
      <c r="V148" t="s">
        <v>32</v>
      </c>
      <c r="W148">
        <v>0</v>
      </c>
      <c r="X148" s="1">
        <v>46007.607832176145</v>
      </c>
    </row>
    <row r="149" spans="1:24" x14ac:dyDescent="0.2">
      <c r="A149" t="s">
        <v>518</v>
      </c>
      <c r="B149" t="s">
        <v>519</v>
      </c>
      <c r="C149" t="s">
        <v>25</v>
      </c>
      <c r="D149">
        <v>0</v>
      </c>
      <c r="E149" t="s">
        <v>512</v>
      </c>
      <c r="F149" t="s">
        <v>513</v>
      </c>
      <c r="G149" s="1">
        <v>46004</v>
      </c>
      <c r="H149" s="1">
        <v>46004</v>
      </c>
      <c r="I149">
        <v>0</v>
      </c>
      <c r="J149">
        <v>-70000</v>
      </c>
      <c r="K149">
        <v>0</v>
      </c>
      <c r="L149">
        <v>0</v>
      </c>
      <c r="M149">
        <v>1</v>
      </c>
      <c r="N149">
        <v>1</v>
      </c>
      <c r="O149">
        <f t="shared" si="2"/>
        <v>-70000</v>
      </c>
      <c r="P149" t="s">
        <v>28</v>
      </c>
      <c r="Q149" t="s">
        <v>514</v>
      </c>
      <c r="R149" t="s">
        <v>515</v>
      </c>
      <c r="S149" t="s">
        <v>32</v>
      </c>
      <c r="T149" t="s">
        <v>516</v>
      </c>
      <c r="U149" t="s">
        <v>517</v>
      </c>
      <c r="V149" t="s">
        <v>32</v>
      </c>
      <c r="W149">
        <v>0</v>
      </c>
      <c r="X149" s="1">
        <v>46007.609300995246</v>
      </c>
    </row>
    <row r="150" spans="1:24" x14ac:dyDescent="0.2">
      <c r="A150" t="s">
        <v>520</v>
      </c>
      <c r="B150" t="s">
        <v>521</v>
      </c>
      <c r="C150" t="s">
        <v>25</v>
      </c>
      <c r="D150">
        <v>0</v>
      </c>
      <c r="E150" t="s">
        <v>522</v>
      </c>
      <c r="F150" t="s">
        <v>27</v>
      </c>
      <c r="G150" s="1">
        <v>45859</v>
      </c>
      <c r="H150" s="1">
        <v>45889</v>
      </c>
      <c r="I150">
        <v>0</v>
      </c>
      <c r="J150">
        <v>102810000</v>
      </c>
      <c r="K150">
        <v>0</v>
      </c>
      <c r="L150">
        <v>0</v>
      </c>
      <c r="M150">
        <v>0</v>
      </c>
      <c r="N150">
        <v>1</v>
      </c>
      <c r="O150">
        <f t="shared" si="2"/>
        <v>102810000</v>
      </c>
      <c r="P150" t="s">
        <v>28</v>
      </c>
      <c r="Q150" t="s">
        <v>523</v>
      </c>
      <c r="R150" t="s">
        <v>524</v>
      </c>
      <c r="S150" t="s">
        <v>178</v>
      </c>
      <c r="T150" t="s">
        <v>525</v>
      </c>
      <c r="U150" t="s">
        <v>526</v>
      </c>
      <c r="V150" t="s">
        <v>527</v>
      </c>
      <c r="W150">
        <v>30</v>
      </c>
      <c r="X150" s="1">
        <v>45859.646423287224</v>
      </c>
    </row>
    <row r="151" spans="1:24" x14ac:dyDescent="0.2">
      <c r="A151" t="s">
        <v>528</v>
      </c>
      <c r="B151" t="s">
        <v>529</v>
      </c>
      <c r="C151" t="s">
        <v>25</v>
      </c>
      <c r="D151">
        <v>0</v>
      </c>
      <c r="E151" t="s">
        <v>522</v>
      </c>
      <c r="F151" t="s">
        <v>27</v>
      </c>
      <c r="G151" s="1">
        <v>45862</v>
      </c>
      <c r="H151" s="1">
        <v>45892</v>
      </c>
      <c r="I151">
        <v>0</v>
      </c>
      <c r="J151">
        <v>62730000</v>
      </c>
      <c r="K151">
        <v>0</v>
      </c>
      <c r="L151">
        <v>0</v>
      </c>
      <c r="M151">
        <v>0</v>
      </c>
      <c r="N151">
        <v>1</v>
      </c>
      <c r="O151">
        <f t="shared" si="2"/>
        <v>62730000</v>
      </c>
      <c r="P151" t="s">
        <v>28</v>
      </c>
      <c r="Q151" t="s">
        <v>523</v>
      </c>
      <c r="R151" t="s">
        <v>524</v>
      </c>
      <c r="S151" t="s">
        <v>178</v>
      </c>
      <c r="T151" t="s">
        <v>525</v>
      </c>
      <c r="U151" t="s">
        <v>526</v>
      </c>
      <c r="V151" t="s">
        <v>527</v>
      </c>
      <c r="W151">
        <v>30</v>
      </c>
      <c r="X151" s="1">
        <v>45862.647656551097</v>
      </c>
    </row>
    <row r="152" spans="1:24" x14ac:dyDescent="0.2">
      <c r="A152" t="s">
        <v>530</v>
      </c>
      <c r="B152" t="s">
        <v>531</v>
      </c>
      <c r="C152" t="s">
        <v>25</v>
      </c>
      <c r="D152">
        <v>0</v>
      </c>
      <c r="E152" t="s">
        <v>522</v>
      </c>
      <c r="F152" t="s">
        <v>27</v>
      </c>
      <c r="G152" s="1">
        <v>45862</v>
      </c>
      <c r="H152" s="1">
        <v>45892</v>
      </c>
      <c r="I152">
        <v>0</v>
      </c>
      <c r="J152">
        <v>104300000</v>
      </c>
      <c r="K152">
        <v>0</v>
      </c>
      <c r="L152">
        <v>0</v>
      </c>
      <c r="M152">
        <v>0</v>
      </c>
      <c r="N152">
        <v>1</v>
      </c>
      <c r="O152">
        <f t="shared" si="2"/>
        <v>104300000</v>
      </c>
      <c r="P152" t="s">
        <v>28</v>
      </c>
      <c r="Q152" t="s">
        <v>523</v>
      </c>
      <c r="R152" t="s">
        <v>524</v>
      </c>
      <c r="S152" t="s">
        <v>178</v>
      </c>
      <c r="T152" t="s">
        <v>525</v>
      </c>
      <c r="U152" t="s">
        <v>526</v>
      </c>
      <c r="V152" t="s">
        <v>527</v>
      </c>
      <c r="W152">
        <v>30</v>
      </c>
      <c r="X152" s="1">
        <v>45863.618724224623</v>
      </c>
    </row>
    <row r="153" spans="1:24" x14ac:dyDescent="0.2">
      <c r="A153" t="s">
        <v>532</v>
      </c>
      <c r="B153" t="s">
        <v>533</v>
      </c>
      <c r="C153" t="s">
        <v>25</v>
      </c>
      <c r="D153">
        <v>0</v>
      </c>
      <c r="E153" t="s">
        <v>522</v>
      </c>
      <c r="F153" t="s">
        <v>27</v>
      </c>
      <c r="G153" s="1">
        <v>45869</v>
      </c>
      <c r="H153" s="1">
        <v>45899</v>
      </c>
      <c r="I153">
        <v>0</v>
      </c>
      <c r="J153">
        <v>104300000</v>
      </c>
      <c r="K153">
        <v>0</v>
      </c>
      <c r="L153">
        <v>0</v>
      </c>
      <c r="M153">
        <v>0</v>
      </c>
      <c r="N153">
        <v>1</v>
      </c>
      <c r="O153">
        <f t="shared" si="2"/>
        <v>104300000</v>
      </c>
      <c r="P153" t="s">
        <v>28</v>
      </c>
      <c r="Q153" t="s">
        <v>523</v>
      </c>
      <c r="R153" t="s">
        <v>524</v>
      </c>
      <c r="S153" t="s">
        <v>178</v>
      </c>
      <c r="T153" t="s">
        <v>525</v>
      </c>
      <c r="U153" t="s">
        <v>526</v>
      </c>
      <c r="V153" t="s">
        <v>527</v>
      </c>
      <c r="W153">
        <v>30</v>
      </c>
      <c r="X153" s="1">
        <v>45870.358386145905</v>
      </c>
    </row>
    <row r="154" spans="1:24" x14ac:dyDescent="0.2">
      <c r="A154" t="s">
        <v>534</v>
      </c>
      <c r="B154" t="s">
        <v>535</v>
      </c>
      <c r="C154" t="s">
        <v>25</v>
      </c>
      <c r="D154">
        <v>0</v>
      </c>
      <c r="E154" t="s">
        <v>522</v>
      </c>
      <c r="F154" t="s">
        <v>27</v>
      </c>
      <c r="G154" s="1">
        <v>45882</v>
      </c>
      <c r="H154" s="1">
        <v>45912</v>
      </c>
      <c r="I154">
        <v>0</v>
      </c>
      <c r="J154">
        <v>97150000</v>
      </c>
      <c r="K154">
        <v>0</v>
      </c>
      <c r="L154">
        <v>0</v>
      </c>
      <c r="M154">
        <v>0</v>
      </c>
      <c r="N154">
        <v>1</v>
      </c>
      <c r="O154">
        <f t="shared" si="2"/>
        <v>97150000</v>
      </c>
      <c r="P154" t="s">
        <v>28</v>
      </c>
      <c r="Q154" t="s">
        <v>523</v>
      </c>
      <c r="R154" t="s">
        <v>524</v>
      </c>
      <c r="S154" t="s">
        <v>178</v>
      </c>
      <c r="T154" t="s">
        <v>525</v>
      </c>
      <c r="U154" t="s">
        <v>526</v>
      </c>
      <c r="V154" t="s">
        <v>527</v>
      </c>
      <c r="W154">
        <v>30</v>
      </c>
      <c r="X154" s="1">
        <v>45882.661512187682</v>
      </c>
    </row>
    <row r="155" spans="1:24" x14ac:dyDescent="0.2">
      <c r="A155" t="s">
        <v>536</v>
      </c>
      <c r="B155" t="s">
        <v>537</v>
      </c>
      <c r="C155" t="s">
        <v>25</v>
      </c>
      <c r="D155">
        <v>0</v>
      </c>
      <c r="E155" t="s">
        <v>522</v>
      </c>
      <c r="F155" t="s">
        <v>27</v>
      </c>
      <c r="G155" s="1">
        <v>45884</v>
      </c>
      <c r="H155" s="1">
        <v>45914</v>
      </c>
      <c r="I155">
        <v>0</v>
      </c>
      <c r="J155">
        <v>97150000</v>
      </c>
      <c r="K155">
        <v>0</v>
      </c>
      <c r="L155">
        <v>0</v>
      </c>
      <c r="M155">
        <v>0</v>
      </c>
      <c r="N155">
        <v>1</v>
      </c>
      <c r="O155">
        <f t="shared" si="2"/>
        <v>97150000</v>
      </c>
      <c r="P155" t="s">
        <v>28</v>
      </c>
      <c r="Q155" t="s">
        <v>523</v>
      </c>
      <c r="R155" t="s">
        <v>524</v>
      </c>
      <c r="S155" t="s">
        <v>178</v>
      </c>
      <c r="T155" t="s">
        <v>525</v>
      </c>
      <c r="U155" t="s">
        <v>526</v>
      </c>
      <c r="V155" t="s">
        <v>527</v>
      </c>
      <c r="W155">
        <v>30</v>
      </c>
      <c r="X155" s="1">
        <v>45884.735498414375</v>
      </c>
    </row>
    <row r="156" spans="1:24" x14ac:dyDescent="0.2">
      <c r="A156" t="s">
        <v>538</v>
      </c>
      <c r="B156" t="s">
        <v>539</v>
      </c>
      <c r="C156" t="s">
        <v>25</v>
      </c>
      <c r="D156">
        <v>0</v>
      </c>
      <c r="E156" t="s">
        <v>522</v>
      </c>
      <c r="F156" t="s">
        <v>27</v>
      </c>
      <c r="G156" s="1">
        <v>45899</v>
      </c>
      <c r="H156" s="1">
        <v>45929</v>
      </c>
      <c r="I156">
        <v>0</v>
      </c>
      <c r="J156">
        <v>96684000</v>
      </c>
      <c r="K156">
        <v>0</v>
      </c>
      <c r="L156">
        <v>0</v>
      </c>
      <c r="M156">
        <v>0</v>
      </c>
      <c r="N156">
        <v>1</v>
      </c>
      <c r="O156">
        <f t="shared" si="2"/>
        <v>96684000</v>
      </c>
      <c r="P156" t="s">
        <v>28</v>
      </c>
      <c r="Q156" t="s">
        <v>523</v>
      </c>
      <c r="R156" t="s">
        <v>524</v>
      </c>
      <c r="S156" t="s">
        <v>178</v>
      </c>
      <c r="T156" t="s">
        <v>525</v>
      </c>
      <c r="U156" t="s">
        <v>526</v>
      </c>
      <c r="V156" t="s">
        <v>527</v>
      </c>
      <c r="W156">
        <v>30</v>
      </c>
      <c r="X156" s="1">
        <v>45899.511638182681</v>
      </c>
    </row>
    <row r="157" spans="1:24" x14ac:dyDescent="0.2">
      <c r="A157" t="s">
        <v>540</v>
      </c>
      <c r="B157" t="s">
        <v>541</v>
      </c>
      <c r="C157" t="s">
        <v>25</v>
      </c>
      <c r="D157">
        <v>0</v>
      </c>
      <c r="E157" t="s">
        <v>522</v>
      </c>
      <c r="F157" t="s">
        <v>27</v>
      </c>
      <c r="G157" s="1">
        <v>46008</v>
      </c>
      <c r="H157" s="1">
        <v>46039</v>
      </c>
      <c r="I157">
        <v>0</v>
      </c>
      <c r="J157">
        <v>89628000</v>
      </c>
      <c r="K157">
        <v>0</v>
      </c>
      <c r="L157">
        <v>0</v>
      </c>
      <c r="M157">
        <v>0</v>
      </c>
      <c r="N157">
        <v>1</v>
      </c>
      <c r="O157">
        <f t="shared" si="2"/>
        <v>89628000</v>
      </c>
      <c r="P157" t="s">
        <v>28</v>
      </c>
      <c r="Q157" t="s">
        <v>523</v>
      </c>
      <c r="R157" t="s">
        <v>524</v>
      </c>
      <c r="S157" t="s">
        <v>178</v>
      </c>
      <c r="T157" t="s">
        <v>525</v>
      </c>
      <c r="U157" t="s">
        <v>526</v>
      </c>
      <c r="V157" t="s">
        <v>527</v>
      </c>
      <c r="W157">
        <v>30</v>
      </c>
      <c r="X157" s="1">
        <v>46008.633048252203</v>
      </c>
    </row>
    <row r="158" spans="1:24" x14ac:dyDescent="0.2">
      <c r="A158" t="s">
        <v>542</v>
      </c>
      <c r="B158" t="s">
        <v>543</v>
      </c>
      <c r="C158" t="s">
        <v>25</v>
      </c>
      <c r="D158">
        <v>0</v>
      </c>
      <c r="E158" t="s">
        <v>522</v>
      </c>
      <c r="F158" t="s">
        <v>27</v>
      </c>
      <c r="G158" s="1">
        <v>46008</v>
      </c>
      <c r="H158" s="1">
        <v>46039</v>
      </c>
      <c r="I158">
        <v>0</v>
      </c>
      <c r="J158">
        <v>87120000</v>
      </c>
      <c r="K158">
        <v>0</v>
      </c>
      <c r="L158">
        <v>0</v>
      </c>
      <c r="M158">
        <v>0</v>
      </c>
      <c r="N158">
        <v>1</v>
      </c>
      <c r="O158">
        <f t="shared" si="2"/>
        <v>87120000</v>
      </c>
      <c r="P158" t="s">
        <v>28</v>
      </c>
      <c r="Q158" t="s">
        <v>523</v>
      </c>
      <c r="R158" t="s">
        <v>524</v>
      </c>
      <c r="S158" t="s">
        <v>178</v>
      </c>
      <c r="T158" t="s">
        <v>525</v>
      </c>
      <c r="U158" t="s">
        <v>526</v>
      </c>
      <c r="V158" t="s">
        <v>527</v>
      </c>
      <c r="W158">
        <v>30</v>
      </c>
      <c r="X158" s="1">
        <v>46008.634858356323</v>
      </c>
    </row>
    <row r="159" spans="1:24" x14ac:dyDescent="0.2">
      <c r="A159" t="s">
        <v>544</v>
      </c>
      <c r="B159" t="s">
        <v>545</v>
      </c>
      <c r="C159" t="s">
        <v>25</v>
      </c>
      <c r="D159">
        <v>0</v>
      </c>
      <c r="E159" t="s">
        <v>522</v>
      </c>
      <c r="F159" t="s">
        <v>27</v>
      </c>
      <c r="G159" s="1">
        <v>46013</v>
      </c>
      <c r="H159" s="1">
        <v>46043</v>
      </c>
      <c r="I159">
        <v>0</v>
      </c>
      <c r="J159">
        <v>89760000</v>
      </c>
      <c r="K159">
        <v>0</v>
      </c>
      <c r="L159">
        <v>0</v>
      </c>
      <c r="M159">
        <v>0</v>
      </c>
      <c r="N159">
        <v>1</v>
      </c>
      <c r="O159">
        <f t="shared" si="2"/>
        <v>89760000</v>
      </c>
      <c r="P159" t="s">
        <v>28</v>
      </c>
      <c r="Q159" t="s">
        <v>523</v>
      </c>
      <c r="R159" t="s">
        <v>524</v>
      </c>
      <c r="S159" t="s">
        <v>178</v>
      </c>
      <c r="T159" t="s">
        <v>525</v>
      </c>
      <c r="U159" t="s">
        <v>526</v>
      </c>
      <c r="V159" t="s">
        <v>527</v>
      </c>
      <c r="W159">
        <v>30</v>
      </c>
      <c r="X159" s="1">
        <v>46013.598533784505</v>
      </c>
    </row>
    <row r="160" spans="1:24" x14ac:dyDescent="0.2">
      <c r="A160" t="s">
        <v>546</v>
      </c>
      <c r="B160" t="s">
        <v>547</v>
      </c>
      <c r="C160" t="s">
        <v>25</v>
      </c>
      <c r="D160">
        <v>0</v>
      </c>
      <c r="E160" t="s">
        <v>522</v>
      </c>
      <c r="F160" t="s">
        <v>27</v>
      </c>
      <c r="G160" s="1">
        <v>46074</v>
      </c>
      <c r="H160" s="1">
        <v>46107</v>
      </c>
      <c r="I160">
        <v>0</v>
      </c>
      <c r="J160">
        <v>89760000</v>
      </c>
      <c r="K160">
        <v>0</v>
      </c>
      <c r="L160">
        <v>0</v>
      </c>
      <c r="M160">
        <v>0</v>
      </c>
      <c r="N160">
        <v>1</v>
      </c>
      <c r="O160">
        <f t="shared" si="2"/>
        <v>89760000</v>
      </c>
      <c r="P160" t="s">
        <v>28</v>
      </c>
      <c r="Q160" t="s">
        <v>523</v>
      </c>
      <c r="R160" t="s">
        <v>524</v>
      </c>
      <c r="S160" t="s">
        <v>178</v>
      </c>
      <c r="T160" t="s">
        <v>525</v>
      </c>
      <c r="U160" t="s">
        <v>526</v>
      </c>
      <c r="V160" t="s">
        <v>527</v>
      </c>
      <c r="W160">
        <v>30</v>
      </c>
      <c r="X160" s="1">
        <v>46076.303004467394</v>
      </c>
    </row>
    <row r="161" spans="1:24" x14ac:dyDescent="0.2">
      <c r="A161" t="s">
        <v>548</v>
      </c>
      <c r="B161" t="s">
        <v>549</v>
      </c>
      <c r="C161" t="s">
        <v>25</v>
      </c>
      <c r="D161">
        <v>0</v>
      </c>
      <c r="E161" t="s">
        <v>522</v>
      </c>
      <c r="F161" t="s">
        <v>27</v>
      </c>
      <c r="G161" s="1">
        <v>46083</v>
      </c>
      <c r="H161" s="1">
        <v>46114</v>
      </c>
      <c r="I161">
        <v>87120000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f t="shared" si="2"/>
        <v>87120000</v>
      </c>
      <c r="P161" t="s">
        <v>28</v>
      </c>
      <c r="Q161" t="s">
        <v>523</v>
      </c>
      <c r="R161" t="s">
        <v>524</v>
      </c>
      <c r="S161" t="s">
        <v>178</v>
      </c>
      <c r="T161" t="s">
        <v>525</v>
      </c>
      <c r="U161" t="s">
        <v>526</v>
      </c>
      <c r="V161" t="s">
        <v>527</v>
      </c>
      <c r="W161">
        <v>30</v>
      </c>
      <c r="X161" s="1">
        <v>46084.307483981363</v>
      </c>
    </row>
    <row r="162" spans="1:24" x14ac:dyDescent="0.2">
      <c r="A162" t="s">
        <v>550</v>
      </c>
      <c r="B162" t="s">
        <v>551</v>
      </c>
      <c r="C162" t="s">
        <v>25</v>
      </c>
      <c r="D162">
        <v>0</v>
      </c>
      <c r="E162" t="s">
        <v>522</v>
      </c>
      <c r="F162" t="s">
        <v>27</v>
      </c>
      <c r="G162" s="1">
        <v>46084</v>
      </c>
      <c r="H162" s="1">
        <v>46115</v>
      </c>
      <c r="I162">
        <v>89760000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f t="shared" si="2"/>
        <v>89760000</v>
      </c>
      <c r="P162" t="s">
        <v>28</v>
      </c>
      <c r="Q162" t="s">
        <v>523</v>
      </c>
      <c r="R162" t="s">
        <v>524</v>
      </c>
      <c r="S162" t="s">
        <v>178</v>
      </c>
      <c r="T162" t="s">
        <v>525</v>
      </c>
      <c r="U162" t="s">
        <v>526</v>
      </c>
      <c r="V162" t="s">
        <v>527</v>
      </c>
      <c r="W162">
        <v>30</v>
      </c>
      <c r="X162" s="1">
        <v>46085.393141238485</v>
      </c>
    </row>
    <row r="163" spans="1:24" x14ac:dyDescent="0.2">
      <c r="A163" t="s">
        <v>552</v>
      </c>
      <c r="B163" t="s">
        <v>553</v>
      </c>
      <c r="C163" t="s">
        <v>25</v>
      </c>
      <c r="D163">
        <v>0</v>
      </c>
      <c r="E163" t="s">
        <v>522</v>
      </c>
      <c r="F163" t="s">
        <v>27</v>
      </c>
      <c r="G163" s="1">
        <v>46088</v>
      </c>
      <c r="H163" s="1">
        <v>46118</v>
      </c>
      <c r="I163">
        <v>89760000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f t="shared" si="2"/>
        <v>89760000</v>
      </c>
      <c r="P163" t="s">
        <v>28</v>
      </c>
      <c r="Q163" t="s">
        <v>523</v>
      </c>
      <c r="R163" t="s">
        <v>524</v>
      </c>
      <c r="S163" t="s">
        <v>178</v>
      </c>
      <c r="T163" t="s">
        <v>525</v>
      </c>
      <c r="U163" t="s">
        <v>526</v>
      </c>
      <c r="V163" t="s">
        <v>527</v>
      </c>
      <c r="W163">
        <v>30</v>
      </c>
      <c r="X163" s="1">
        <v>46090.313540972304</v>
      </c>
    </row>
    <row r="164" spans="1:24" x14ac:dyDescent="0.2">
      <c r="A164" t="s">
        <v>554</v>
      </c>
      <c r="B164" t="s">
        <v>555</v>
      </c>
      <c r="C164" t="s">
        <v>25</v>
      </c>
      <c r="D164">
        <v>0</v>
      </c>
      <c r="E164" t="s">
        <v>522</v>
      </c>
      <c r="F164" t="s">
        <v>27</v>
      </c>
      <c r="G164" s="1">
        <v>46098</v>
      </c>
      <c r="H164" s="1">
        <v>46128</v>
      </c>
      <c r="I164">
        <v>93800000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f t="shared" si="2"/>
        <v>93800000</v>
      </c>
      <c r="P164" t="s">
        <v>28</v>
      </c>
      <c r="Q164" t="s">
        <v>523</v>
      </c>
      <c r="R164" t="s">
        <v>524</v>
      </c>
      <c r="S164" t="s">
        <v>178</v>
      </c>
      <c r="T164" t="s">
        <v>525</v>
      </c>
      <c r="U164" t="s">
        <v>526</v>
      </c>
      <c r="V164" t="s">
        <v>527</v>
      </c>
      <c r="W164">
        <v>30</v>
      </c>
      <c r="X164" s="1">
        <v>46098.606909710448</v>
      </c>
    </row>
    <row r="165" spans="1:24" x14ac:dyDescent="0.2">
      <c r="A165" t="s">
        <v>556</v>
      </c>
      <c r="B165" t="s">
        <v>557</v>
      </c>
      <c r="C165" t="s">
        <v>25</v>
      </c>
      <c r="D165">
        <v>0</v>
      </c>
      <c r="E165" t="s">
        <v>558</v>
      </c>
      <c r="F165" t="s">
        <v>27</v>
      </c>
      <c r="G165" s="1">
        <v>46056</v>
      </c>
      <c r="H165" s="1">
        <v>46056</v>
      </c>
      <c r="I165">
        <v>0</v>
      </c>
      <c r="J165">
        <v>40000</v>
      </c>
      <c r="K165">
        <v>0</v>
      </c>
      <c r="L165">
        <v>0</v>
      </c>
      <c r="M165">
        <v>1</v>
      </c>
      <c r="N165">
        <v>1</v>
      </c>
      <c r="O165">
        <f t="shared" si="2"/>
        <v>40000</v>
      </c>
      <c r="P165" t="s">
        <v>28</v>
      </c>
      <c r="Q165" t="s">
        <v>559</v>
      </c>
      <c r="R165" t="s">
        <v>560</v>
      </c>
      <c r="S165" t="s">
        <v>32</v>
      </c>
      <c r="T165" t="s">
        <v>32</v>
      </c>
      <c r="U165" t="s">
        <v>32</v>
      </c>
      <c r="V165" t="s">
        <v>32</v>
      </c>
      <c r="W165">
        <v>0</v>
      </c>
      <c r="X165" s="1">
        <v>46066.718564733863</v>
      </c>
    </row>
    <row r="166" spans="1:24" x14ac:dyDescent="0.2">
      <c r="A166" t="s">
        <v>561</v>
      </c>
      <c r="B166" t="s">
        <v>562</v>
      </c>
      <c r="C166" t="s">
        <v>25</v>
      </c>
      <c r="D166">
        <v>0</v>
      </c>
      <c r="E166" t="s">
        <v>563</v>
      </c>
      <c r="F166" t="s">
        <v>27</v>
      </c>
      <c r="G166" s="1">
        <v>46063</v>
      </c>
      <c r="H166" s="1">
        <v>46108</v>
      </c>
      <c r="I166">
        <v>0</v>
      </c>
      <c r="J166">
        <v>10351024</v>
      </c>
      <c r="K166">
        <v>0</v>
      </c>
      <c r="L166">
        <v>0</v>
      </c>
      <c r="M166">
        <v>0</v>
      </c>
      <c r="N166">
        <v>1</v>
      </c>
      <c r="O166">
        <f t="shared" si="2"/>
        <v>10351024</v>
      </c>
      <c r="P166" t="s">
        <v>28</v>
      </c>
      <c r="Q166" t="s">
        <v>564</v>
      </c>
      <c r="R166" t="s">
        <v>565</v>
      </c>
      <c r="S166" t="s">
        <v>113</v>
      </c>
      <c r="T166" t="s">
        <v>566</v>
      </c>
      <c r="U166" t="s">
        <v>567</v>
      </c>
      <c r="V166" t="s">
        <v>32</v>
      </c>
      <c r="W166">
        <v>45</v>
      </c>
      <c r="X166" s="1">
        <v>46063.653103738558</v>
      </c>
    </row>
    <row r="167" spans="1:24" x14ac:dyDescent="0.2">
      <c r="A167" t="s">
        <v>568</v>
      </c>
      <c r="B167" t="s">
        <v>569</v>
      </c>
      <c r="C167" t="s">
        <v>25</v>
      </c>
      <c r="D167">
        <v>0</v>
      </c>
      <c r="E167" t="s">
        <v>563</v>
      </c>
      <c r="F167" t="s">
        <v>27</v>
      </c>
      <c r="G167" s="1">
        <v>46063</v>
      </c>
      <c r="H167" s="1">
        <v>46108</v>
      </c>
      <c r="I167">
        <v>0</v>
      </c>
      <c r="J167">
        <v>485905</v>
      </c>
      <c r="K167">
        <v>0</v>
      </c>
      <c r="L167">
        <v>0</v>
      </c>
      <c r="M167">
        <v>0</v>
      </c>
      <c r="N167">
        <v>1</v>
      </c>
      <c r="O167">
        <f t="shared" si="2"/>
        <v>485905</v>
      </c>
      <c r="P167" t="s">
        <v>28</v>
      </c>
      <c r="Q167" t="s">
        <v>564</v>
      </c>
      <c r="R167" t="s">
        <v>565</v>
      </c>
      <c r="S167" t="s">
        <v>113</v>
      </c>
      <c r="T167" t="s">
        <v>566</v>
      </c>
      <c r="U167" t="s">
        <v>567</v>
      </c>
      <c r="V167" t="s">
        <v>32</v>
      </c>
      <c r="W167">
        <v>45</v>
      </c>
      <c r="X167" s="1">
        <v>46063.655432627536</v>
      </c>
    </row>
    <row r="168" spans="1:24" x14ac:dyDescent="0.2">
      <c r="A168" t="s">
        <v>570</v>
      </c>
      <c r="B168" t="s">
        <v>571</v>
      </c>
      <c r="C168" t="s">
        <v>25</v>
      </c>
      <c r="D168">
        <v>0</v>
      </c>
      <c r="E168" t="s">
        <v>563</v>
      </c>
      <c r="F168" t="s">
        <v>27</v>
      </c>
      <c r="G168" s="1">
        <v>46063</v>
      </c>
      <c r="H168" s="1">
        <v>46108</v>
      </c>
      <c r="I168">
        <v>0</v>
      </c>
      <c r="J168">
        <v>8396302</v>
      </c>
      <c r="K168">
        <v>0</v>
      </c>
      <c r="L168">
        <v>0</v>
      </c>
      <c r="M168">
        <v>0</v>
      </c>
      <c r="N168">
        <v>1</v>
      </c>
      <c r="O168">
        <f t="shared" si="2"/>
        <v>8396302</v>
      </c>
      <c r="P168" t="s">
        <v>28</v>
      </c>
      <c r="Q168" t="s">
        <v>564</v>
      </c>
      <c r="R168" t="s">
        <v>565</v>
      </c>
      <c r="S168" t="s">
        <v>113</v>
      </c>
      <c r="T168" t="s">
        <v>566</v>
      </c>
      <c r="U168" t="s">
        <v>567</v>
      </c>
      <c r="V168" t="s">
        <v>32</v>
      </c>
      <c r="W168">
        <v>45</v>
      </c>
      <c r="X168" s="1">
        <v>46063.656360034831</v>
      </c>
    </row>
    <row r="169" spans="1:24" x14ac:dyDescent="0.2">
      <c r="A169" t="s">
        <v>572</v>
      </c>
      <c r="B169" t="s">
        <v>573</v>
      </c>
      <c r="C169" t="s">
        <v>25</v>
      </c>
      <c r="D169">
        <v>0</v>
      </c>
      <c r="E169" t="s">
        <v>563</v>
      </c>
      <c r="F169" t="s">
        <v>27</v>
      </c>
      <c r="G169" s="1">
        <v>46063</v>
      </c>
      <c r="H169" s="1">
        <v>46108</v>
      </c>
      <c r="I169">
        <v>0</v>
      </c>
      <c r="J169">
        <v>25620821</v>
      </c>
      <c r="K169">
        <v>0</v>
      </c>
      <c r="L169">
        <v>0</v>
      </c>
      <c r="M169">
        <v>0</v>
      </c>
      <c r="N169">
        <v>1</v>
      </c>
      <c r="O169">
        <f t="shared" si="2"/>
        <v>25620821</v>
      </c>
      <c r="P169" t="s">
        <v>28</v>
      </c>
      <c r="Q169" t="s">
        <v>564</v>
      </c>
      <c r="R169" t="s">
        <v>565</v>
      </c>
      <c r="S169" t="s">
        <v>113</v>
      </c>
      <c r="T169" t="s">
        <v>566</v>
      </c>
      <c r="U169" t="s">
        <v>567</v>
      </c>
      <c r="V169" t="s">
        <v>32</v>
      </c>
      <c r="W169">
        <v>45</v>
      </c>
      <c r="X169" s="1">
        <v>46063.657294641249</v>
      </c>
    </row>
    <row r="170" spans="1:24" x14ac:dyDescent="0.2">
      <c r="A170" t="s">
        <v>574</v>
      </c>
      <c r="B170" t="s">
        <v>575</v>
      </c>
      <c r="C170" t="s">
        <v>25</v>
      </c>
      <c r="D170">
        <v>0</v>
      </c>
      <c r="E170" t="s">
        <v>563</v>
      </c>
      <c r="F170" t="s">
        <v>27</v>
      </c>
      <c r="G170" s="1">
        <v>46069</v>
      </c>
      <c r="H170" s="1">
        <v>46114</v>
      </c>
      <c r="I170">
        <v>0</v>
      </c>
      <c r="J170">
        <v>10104596</v>
      </c>
      <c r="K170">
        <v>0</v>
      </c>
      <c r="L170">
        <v>0</v>
      </c>
      <c r="M170">
        <v>0</v>
      </c>
      <c r="N170">
        <v>1</v>
      </c>
      <c r="O170">
        <f t="shared" si="2"/>
        <v>10104596</v>
      </c>
      <c r="P170" t="s">
        <v>28</v>
      </c>
      <c r="Q170" t="s">
        <v>564</v>
      </c>
      <c r="R170" t="s">
        <v>565</v>
      </c>
      <c r="S170" t="s">
        <v>113</v>
      </c>
      <c r="T170" t="s">
        <v>566</v>
      </c>
      <c r="U170" t="s">
        <v>567</v>
      </c>
      <c r="V170" t="s">
        <v>32</v>
      </c>
      <c r="W170">
        <v>45</v>
      </c>
      <c r="X170" s="1">
        <v>46069.361467245501</v>
      </c>
    </row>
    <row r="171" spans="1:24" x14ac:dyDescent="0.2">
      <c r="A171" t="s">
        <v>576</v>
      </c>
      <c r="B171" t="s">
        <v>577</v>
      </c>
      <c r="C171" t="s">
        <v>25</v>
      </c>
      <c r="D171">
        <v>0</v>
      </c>
      <c r="E171" t="s">
        <v>563</v>
      </c>
      <c r="F171" t="s">
        <v>27</v>
      </c>
      <c r="G171" s="1">
        <v>46069</v>
      </c>
      <c r="H171" s="1">
        <v>46114</v>
      </c>
      <c r="I171">
        <v>0</v>
      </c>
      <c r="J171">
        <v>11125048</v>
      </c>
      <c r="K171">
        <v>0</v>
      </c>
      <c r="L171">
        <v>0</v>
      </c>
      <c r="M171">
        <v>0</v>
      </c>
      <c r="N171">
        <v>1</v>
      </c>
      <c r="O171">
        <f t="shared" si="2"/>
        <v>11125048</v>
      </c>
      <c r="P171" t="s">
        <v>28</v>
      </c>
      <c r="Q171" t="s">
        <v>564</v>
      </c>
      <c r="R171" t="s">
        <v>565</v>
      </c>
      <c r="S171" t="s">
        <v>113</v>
      </c>
      <c r="T171" t="s">
        <v>566</v>
      </c>
      <c r="U171" t="s">
        <v>567</v>
      </c>
      <c r="V171" t="s">
        <v>32</v>
      </c>
      <c r="W171">
        <v>45</v>
      </c>
      <c r="X171" s="1">
        <v>46069.363404502161</v>
      </c>
    </row>
    <row r="172" spans="1:24" x14ac:dyDescent="0.2">
      <c r="A172" t="s">
        <v>578</v>
      </c>
      <c r="B172" t="s">
        <v>579</v>
      </c>
      <c r="C172" t="s">
        <v>25</v>
      </c>
      <c r="D172">
        <v>0</v>
      </c>
      <c r="E172" t="s">
        <v>563</v>
      </c>
      <c r="F172" t="s">
        <v>27</v>
      </c>
      <c r="G172" s="1">
        <v>46071</v>
      </c>
      <c r="H172" s="1">
        <v>46116</v>
      </c>
      <c r="I172">
        <v>0</v>
      </c>
      <c r="J172">
        <v>24230502</v>
      </c>
      <c r="K172">
        <v>0</v>
      </c>
      <c r="L172">
        <v>0</v>
      </c>
      <c r="M172">
        <v>0</v>
      </c>
      <c r="N172">
        <v>1</v>
      </c>
      <c r="O172">
        <f t="shared" si="2"/>
        <v>24230502</v>
      </c>
      <c r="P172" t="s">
        <v>28</v>
      </c>
      <c r="Q172" t="s">
        <v>564</v>
      </c>
      <c r="R172" t="s">
        <v>565</v>
      </c>
      <c r="S172" t="s">
        <v>113</v>
      </c>
      <c r="T172" t="s">
        <v>566</v>
      </c>
      <c r="U172" t="s">
        <v>567</v>
      </c>
      <c r="V172" t="s">
        <v>32</v>
      </c>
      <c r="W172">
        <v>45</v>
      </c>
      <c r="X172" s="1">
        <v>46071.487202071585</v>
      </c>
    </row>
    <row r="173" spans="1:24" x14ac:dyDescent="0.2">
      <c r="A173" t="s">
        <v>580</v>
      </c>
      <c r="B173" t="s">
        <v>581</v>
      </c>
      <c r="C173" t="s">
        <v>25</v>
      </c>
      <c r="D173">
        <v>0</v>
      </c>
      <c r="E173" t="s">
        <v>563</v>
      </c>
      <c r="F173" t="s">
        <v>27</v>
      </c>
      <c r="G173" s="1">
        <v>46077</v>
      </c>
      <c r="H173" s="1">
        <v>46122</v>
      </c>
      <c r="I173">
        <v>0</v>
      </c>
      <c r="J173">
        <v>2128896</v>
      </c>
      <c r="K173">
        <v>0</v>
      </c>
      <c r="L173">
        <v>0</v>
      </c>
      <c r="M173">
        <v>0</v>
      </c>
      <c r="N173">
        <v>1</v>
      </c>
      <c r="O173">
        <f t="shared" si="2"/>
        <v>2128896</v>
      </c>
      <c r="P173" t="s">
        <v>28</v>
      </c>
      <c r="Q173" t="s">
        <v>564</v>
      </c>
      <c r="R173" t="s">
        <v>565</v>
      </c>
      <c r="S173" t="s">
        <v>113</v>
      </c>
      <c r="T173" t="s">
        <v>566</v>
      </c>
      <c r="U173" t="s">
        <v>567</v>
      </c>
      <c r="V173" t="s">
        <v>32</v>
      </c>
      <c r="W173">
        <v>45</v>
      </c>
      <c r="X173" s="1">
        <v>46077.388230555691</v>
      </c>
    </row>
    <row r="174" spans="1:24" x14ac:dyDescent="0.2">
      <c r="A174" t="s">
        <v>582</v>
      </c>
      <c r="B174" t="s">
        <v>583</v>
      </c>
      <c r="C174" t="s">
        <v>25</v>
      </c>
      <c r="D174">
        <v>0</v>
      </c>
      <c r="E174" t="s">
        <v>563</v>
      </c>
      <c r="F174" t="s">
        <v>27</v>
      </c>
      <c r="G174" s="1">
        <v>46077</v>
      </c>
      <c r="H174" s="1">
        <v>46122</v>
      </c>
      <c r="I174">
        <v>0</v>
      </c>
      <c r="J174">
        <v>27920426</v>
      </c>
      <c r="K174">
        <v>0</v>
      </c>
      <c r="L174">
        <v>0</v>
      </c>
      <c r="M174">
        <v>0</v>
      </c>
      <c r="N174">
        <v>1</v>
      </c>
      <c r="O174">
        <f t="shared" si="2"/>
        <v>27920426</v>
      </c>
      <c r="P174" t="s">
        <v>28</v>
      </c>
      <c r="Q174" t="s">
        <v>564</v>
      </c>
      <c r="R174" t="s">
        <v>565</v>
      </c>
      <c r="S174" t="s">
        <v>113</v>
      </c>
      <c r="T174" t="s">
        <v>566</v>
      </c>
      <c r="U174" t="s">
        <v>567</v>
      </c>
      <c r="V174" t="s">
        <v>32</v>
      </c>
      <c r="W174">
        <v>45</v>
      </c>
      <c r="X174" s="1">
        <v>46077.389746979345</v>
      </c>
    </row>
    <row r="175" spans="1:24" x14ac:dyDescent="0.2">
      <c r="A175" t="s">
        <v>584</v>
      </c>
      <c r="B175" t="s">
        <v>585</v>
      </c>
      <c r="C175" t="s">
        <v>25</v>
      </c>
      <c r="D175">
        <v>0</v>
      </c>
      <c r="E175" t="s">
        <v>563</v>
      </c>
      <c r="F175" t="s">
        <v>27</v>
      </c>
      <c r="G175" s="1">
        <v>46078</v>
      </c>
      <c r="H175" s="1">
        <v>46123</v>
      </c>
      <c r="I175">
        <v>0</v>
      </c>
      <c r="J175">
        <v>34895374</v>
      </c>
      <c r="K175">
        <v>0</v>
      </c>
      <c r="L175">
        <v>0</v>
      </c>
      <c r="M175">
        <v>0</v>
      </c>
      <c r="N175">
        <v>1</v>
      </c>
      <c r="O175">
        <f t="shared" si="2"/>
        <v>34895374</v>
      </c>
      <c r="P175" t="s">
        <v>28</v>
      </c>
      <c r="Q175" t="s">
        <v>564</v>
      </c>
      <c r="R175" t="s">
        <v>565</v>
      </c>
      <c r="S175" t="s">
        <v>113</v>
      </c>
      <c r="T175" t="s">
        <v>566</v>
      </c>
      <c r="U175" t="s">
        <v>567</v>
      </c>
      <c r="V175" t="s">
        <v>32</v>
      </c>
      <c r="W175">
        <v>45</v>
      </c>
      <c r="X175" s="1">
        <v>46078.493660439737</v>
      </c>
    </row>
    <row r="176" spans="1:24" x14ac:dyDescent="0.2">
      <c r="A176" t="s">
        <v>586</v>
      </c>
      <c r="B176" t="s">
        <v>587</v>
      </c>
      <c r="C176" t="s">
        <v>25</v>
      </c>
      <c r="D176">
        <v>0</v>
      </c>
      <c r="E176" t="s">
        <v>563</v>
      </c>
      <c r="F176" t="s">
        <v>27</v>
      </c>
      <c r="G176" s="1">
        <v>46078</v>
      </c>
      <c r="H176" s="1">
        <v>46123</v>
      </c>
      <c r="I176">
        <v>0</v>
      </c>
      <c r="J176">
        <v>2135146</v>
      </c>
      <c r="K176">
        <v>0</v>
      </c>
      <c r="L176">
        <v>0</v>
      </c>
      <c r="M176">
        <v>0</v>
      </c>
      <c r="N176">
        <v>1</v>
      </c>
      <c r="O176">
        <f t="shared" si="2"/>
        <v>2135146</v>
      </c>
      <c r="P176" t="s">
        <v>28</v>
      </c>
      <c r="Q176" t="s">
        <v>564</v>
      </c>
      <c r="R176" t="s">
        <v>565</v>
      </c>
      <c r="S176" t="s">
        <v>113</v>
      </c>
      <c r="T176" t="s">
        <v>566</v>
      </c>
      <c r="U176" t="s">
        <v>567</v>
      </c>
      <c r="V176" t="s">
        <v>32</v>
      </c>
      <c r="W176">
        <v>45</v>
      </c>
      <c r="X176" s="1">
        <v>46078.494051029906</v>
      </c>
    </row>
    <row r="177" spans="1:24" x14ac:dyDescent="0.2">
      <c r="A177" t="s">
        <v>588</v>
      </c>
      <c r="B177" t="s">
        <v>589</v>
      </c>
      <c r="C177" t="s">
        <v>25</v>
      </c>
      <c r="D177">
        <v>0</v>
      </c>
      <c r="E177" t="s">
        <v>563</v>
      </c>
      <c r="F177" t="s">
        <v>27</v>
      </c>
      <c r="G177" s="1">
        <v>46078</v>
      </c>
      <c r="H177" s="1">
        <v>46123</v>
      </c>
      <c r="I177">
        <v>0</v>
      </c>
      <c r="J177">
        <v>4053635</v>
      </c>
      <c r="K177">
        <v>0</v>
      </c>
      <c r="L177">
        <v>0</v>
      </c>
      <c r="M177">
        <v>0</v>
      </c>
      <c r="N177">
        <v>1</v>
      </c>
      <c r="O177">
        <f t="shared" si="2"/>
        <v>4053635</v>
      </c>
      <c r="P177" t="s">
        <v>28</v>
      </c>
      <c r="Q177" t="s">
        <v>564</v>
      </c>
      <c r="R177" t="s">
        <v>565</v>
      </c>
      <c r="S177" t="s">
        <v>113</v>
      </c>
      <c r="T177" t="s">
        <v>566</v>
      </c>
      <c r="U177" t="s">
        <v>567</v>
      </c>
      <c r="V177" t="s">
        <v>32</v>
      </c>
      <c r="W177">
        <v>45</v>
      </c>
      <c r="X177" s="1">
        <v>46078.494873715099</v>
      </c>
    </row>
    <row r="178" spans="1:24" x14ac:dyDescent="0.2">
      <c r="A178" t="s">
        <v>590</v>
      </c>
      <c r="B178" t="s">
        <v>591</v>
      </c>
      <c r="C178" t="s">
        <v>25</v>
      </c>
      <c r="D178">
        <v>0</v>
      </c>
      <c r="E178" t="s">
        <v>563</v>
      </c>
      <c r="F178" t="s">
        <v>27</v>
      </c>
      <c r="G178" s="1">
        <v>46078</v>
      </c>
      <c r="H178" s="1">
        <v>46123</v>
      </c>
      <c r="I178">
        <v>0</v>
      </c>
      <c r="J178">
        <v>30565703</v>
      </c>
      <c r="K178">
        <v>0</v>
      </c>
      <c r="L178">
        <v>0</v>
      </c>
      <c r="M178">
        <v>0</v>
      </c>
      <c r="N178">
        <v>1</v>
      </c>
      <c r="O178">
        <f t="shared" si="2"/>
        <v>30565703</v>
      </c>
      <c r="P178" t="s">
        <v>28</v>
      </c>
      <c r="Q178" t="s">
        <v>564</v>
      </c>
      <c r="R178" t="s">
        <v>565</v>
      </c>
      <c r="S178" t="s">
        <v>113</v>
      </c>
      <c r="T178" t="s">
        <v>566</v>
      </c>
      <c r="U178" t="s">
        <v>567</v>
      </c>
      <c r="V178" t="s">
        <v>32</v>
      </c>
      <c r="W178">
        <v>45</v>
      </c>
      <c r="X178" s="1">
        <v>46078.495330058038</v>
      </c>
    </row>
    <row r="179" spans="1:24" x14ac:dyDescent="0.2">
      <c r="A179" t="s">
        <v>592</v>
      </c>
      <c r="B179" t="s">
        <v>593</v>
      </c>
      <c r="C179" t="s">
        <v>25</v>
      </c>
      <c r="D179">
        <v>0</v>
      </c>
      <c r="E179" t="s">
        <v>563</v>
      </c>
      <c r="F179" t="s">
        <v>27</v>
      </c>
      <c r="G179" s="1">
        <v>46081</v>
      </c>
      <c r="H179" s="1">
        <v>46126</v>
      </c>
      <c r="I179">
        <v>0</v>
      </c>
      <c r="J179">
        <v>8540582</v>
      </c>
      <c r="K179">
        <v>0</v>
      </c>
      <c r="L179">
        <v>0</v>
      </c>
      <c r="M179">
        <v>0</v>
      </c>
      <c r="N179">
        <v>1</v>
      </c>
      <c r="O179">
        <f t="shared" si="2"/>
        <v>8540582</v>
      </c>
      <c r="P179" t="s">
        <v>28</v>
      </c>
      <c r="Q179" t="s">
        <v>564</v>
      </c>
      <c r="R179" t="s">
        <v>565</v>
      </c>
      <c r="S179" t="s">
        <v>113</v>
      </c>
      <c r="T179" t="s">
        <v>566</v>
      </c>
      <c r="U179" t="s">
        <v>567</v>
      </c>
      <c r="V179" t="s">
        <v>32</v>
      </c>
      <c r="W179">
        <v>45</v>
      </c>
      <c r="X179" s="1">
        <v>46081.623692152556</v>
      </c>
    </row>
    <row r="180" spans="1:24" x14ac:dyDescent="0.2">
      <c r="A180" t="s">
        <v>594</v>
      </c>
      <c r="B180" t="s">
        <v>595</v>
      </c>
      <c r="C180" t="s">
        <v>25</v>
      </c>
      <c r="D180">
        <v>0</v>
      </c>
      <c r="E180" t="s">
        <v>563</v>
      </c>
      <c r="F180" t="s">
        <v>27</v>
      </c>
      <c r="G180" s="1">
        <v>46081</v>
      </c>
      <c r="H180" s="1">
        <v>46126</v>
      </c>
      <c r="I180">
        <v>0</v>
      </c>
      <c r="J180">
        <v>12312673</v>
      </c>
      <c r="K180">
        <v>0</v>
      </c>
      <c r="L180">
        <v>0</v>
      </c>
      <c r="M180">
        <v>0</v>
      </c>
      <c r="N180">
        <v>1</v>
      </c>
      <c r="O180">
        <f t="shared" si="2"/>
        <v>12312673</v>
      </c>
      <c r="P180" t="s">
        <v>28</v>
      </c>
      <c r="Q180" t="s">
        <v>564</v>
      </c>
      <c r="R180" t="s">
        <v>565</v>
      </c>
      <c r="S180" t="s">
        <v>113</v>
      </c>
      <c r="T180" t="s">
        <v>566</v>
      </c>
      <c r="U180" t="s">
        <v>567</v>
      </c>
      <c r="V180" t="s">
        <v>32</v>
      </c>
      <c r="W180">
        <v>45</v>
      </c>
      <c r="X180" s="1">
        <v>46081.624529595021</v>
      </c>
    </row>
    <row r="181" spans="1:24" x14ac:dyDescent="0.2">
      <c r="A181" t="s">
        <v>596</v>
      </c>
      <c r="B181" t="s">
        <v>597</v>
      </c>
      <c r="C181" t="s">
        <v>25</v>
      </c>
      <c r="D181">
        <v>0</v>
      </c>
      <c r="E181" t="s">
        <v>563</v>
      </c>
      <c r="F181" t="s">
        <v>27</v>
      </c>
      <c r="G181" s="1">
        <v>46099</v>
      </c>
      <c r="H181" s="1">
        <v>46144</v>
      </c>
      <c r="I181">
        <v>2135146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f t="shared" si="2"/>
        <v>2135146</v>
      </c>
      <c r="P181" t="s">
        <v>28</v>
      </c>
      <c r="Q181" t="s">
        <v>564</v>
      </c>
      <c r="R181" t="s">
        <v>565</v>
      </c>
      <c r="S181" t="s">
        <v>113</v>
      </c>
      <c r="T181" t="s">
        <v>566</v>
      </c>
      <c r="U181" t="s">
        <v>567</v>
      </c>
      <c r="V181" t="s">
        <v>32</v>
      </c>
      <c r="W181">
        <v>45</v>
      </c>
      <c r="X181" s="1">
        <v>46099.488715277985</v>
      </c>
    </row>
    <row r="182" spans="1:24" x14ac:dyDescent="0.2">
      <c r="A182" t="s">
        <v>598</v>
      </c>
      <c r="B182" t="s">
        <v>599</v>
      </c>
      <c r="C182" t="s">
        <v>25</v>
      </c>
      <c r="D182">
        <v>0</v>
      </c>
      <c r="E182" t="s">
        <v>563</v>
      </c>
      <c r="F182" t="s">
        <v>27</v>
      </c>
      <c r="G182" s="1">
        <v>46099</v>
      </c>
      <c r="H182" s="1">
        <v>46144</v>
      </c>
      <c r="I182">
        <v>6903637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f t="shared" si="2"/>
        <v>6903637</v>
      </c>
      <c r="P182" t="s">
        <v>28</v>
      </c>
      <c r="Q182" t="s">
        <v>564</v>
      </c>
      <c r="R182" t="s">
        <v>565</v>
      </c>
      <c r="S182" t="s">
        <v>113</v>
      </c>
      <c r="T182" t="s">
        <v>566</v>
      </c>
      <c r="U182" t="s">
        <v>567</v>
      </c>
      <c r="V182" t="s">
        <v>32</v>
      </c>
      <c r="W182">
        <v>45</v>
      </c>
      <c r="X182" s="1">
        <v>46099.489780092612</v>
      </c>
    </row>
    <row r="183" spans="1:24" x14ac:dyDescent="0.2">
      <c r="A183" t="s">
        <v>600</v>
      </c>
      <c r="B183" t="s">
        <v>601</v>
      </c>
      <c r="C183" t="s">
        <v>25</v>
      </c>
      <c r="D183">
        <v>0</v>
      </c>
      <c r="E183" t="s">
        <v>563</v>
      </c>
      <c r="F183" t="s">
        <v>27</v>
      </c>
      <c r="G183" s="1">
        <v>46099</v>
      </c>
      <c r="H183" s="1">
        <v>46144</v>
      </c>
      <c r="I183">
        <v>101532724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f t="shared" si="2"/>
        <v>101532724</v>
      </c>
      <c r="P183" t="s">
        <v>28</v>
      </c>
      <c r="Q183" t="s">
        <v>564</v>
      </c>
      <c r="R183" t="s">
        <v>565</v>
      </c>
      <c r="S183" t="s">
        <v>113</v>
      </c>
      <c r="T183" t="s">
        <v>566</v>
      </c>
      <c r="U183" t="s">
        <v>567</v>
      </c>
      <c r="V183" t="s">
        <v>32</v>
      </c>
      <c r="W183">
        <v>45</v>
      </c>
      <c r="X183" s="1">
        <v>46099.492361099459</v>
      </c>
    </row>
    <row r="184" spans="1:24" x14ac:dyDescent="0.2">
      <c r="A184" t="s">
        <v>602</v>
      </c>
      <c r="B184" t="s">
        <v>603</v>
      </c>
      <c r="C184" t="s">
        <v>25</v>
      </c>
      <c r="D184">
        <v>0</v>
      </c>
      <c r="E184" t="s">
        <v>604</v>
      </c>
      <c r="F184" t="s">
        <v>27</v>
      </c>
      <c r="G184" s="1">
        <v>46051</v>
      </c>
      <c r="H184" s="1">
        <v>46111</v>
      </c>
      <c r="I184">
        <v>0</v>
      </c>
      <c r="J184">
        <v>24006662</v>
      </c>
      <c r="K184">
        <v>0</v>
      </c>
      <c r="L184">
        <v>0</v>
      </c>
      <c r="M184">
        <v>0</v>
      </c>
      <c r="N184">
        <v>1</v>
      </c>
      <c r="O184">
        <f t="shared" si="2"/>
        <v>24006662</v>
      </c>
      <c r="P184" t="s">
        <v>28</v>
      </c>
      <c r="Q184" t="s">
        <v>605</v>
      </c>
      <c r="R184" t="s">
        <v>606</v>
      </c>
      <c r="S184" t="s">
        <v>178</v>
      </c>
      <c r="T184" t="s">
        <v>607</v>
      </c>
      <c r="U184" t="s">
        <v>608</v>
      </c>
      <c r="V184" t="s">
        <v>32</v>
      </c>
      <c r="W184">
        <v>60</v>
      </c>
      <c r="X184" s="1">
        <v>46051.491974062286</v>
      </c>
    </row>
    <row r="185" spans="1:24" x14ac:dyDescent="0.2">
      <c r="A185" t="s">
        <v>609</v>
      </c>
      <c r="B185" t="s">
        <v>610</v>
      </c>
      <c r="C185" t="s">
        <v>25</v>
      </c>
      <c r="D185">
        <v>0</v>
      </c>
      <c r="E185" t="s">
        <v>604</v>
      </c>
      <c r="F185" t="s">
        <v>27</v>
      </c>
      <c r="G185" s="1">
        <v>46079</v>
      </c>
      <c r="H185" s="1">
        <v>46139</v>
      </c>
      <c r="I185">
        <v>0</v>
      </c>
      <c r="J185">
        <v>52352677</v>
      </c>
      <c r="K185">
        <v>0</v>
      </c>
      <c r="L185">
        <v>0</v>
      </c>
      <c r="M185">
        <v>0</v>
      </c>
      <c r="N185">
        <v>1</v>
      </c>
      <c r="O185">
        <f t="shared" si="2"/>
        <v>52352677</v>
      </c>
      <c r="P185" t="s">
        <v>28</v>
      </c>
      <c r="Q185" t="s">
        <v>605</v>
      </c>
      <c r="R185" t="s">
        <v>606</v>
      </c>
      <c r="S185" t="s">
        <v>178</v>
      </c>
      <c r="T185" t="s">
        <v>607</v>
      </c>
      <c r="U185" t="s">
        <v>608</v>
      </c>
      <c r="V185" t="s">
        <v>32</v>
      </c>
      <c r="W185">
        <v>60</v>
      </c>
      <c r="X185" s="1">
        <v>46079.354364803061</v>
      </c>
    </row>
    <row r="186" spans="1:24" x14ac:dyDescent="0.2">
      <c r="A186" t="s">
        <v>611</v>
      </c>
      <c r="B186" t="s">
        <v>612</v>
      </c>
      <c r="C186" t="s">
        <v>25</v>
      </c>
      <c r="D186">
        <v>0</v>
      </c>
      <c r="E186" t="s">
        <v>613</v>
      </c>
      <c r="F186" t="s">
        <v>27</v>
      </c>
      <c r="G186" s="1">
        <v>46071</v>
      </c>
      <c r="H186" s="1">
        <v>46094</v>
      </c>
      <c r="I186">
        <v>0</v>
      </c>
      <c r="J186">
        <v>17669758</v>
      </c>
      <c r="K186">
        <v>0</v>
      </c>
      <c r="L186">
        <v>0</v>
      </c>
      <c r="M186">
        <v>0</v>
      </c>
      <c r="N186">
        <v>1</v>
      </c>
      <c r="O186">
        <f t="shared" si="2"/>
        <v>17669758</v>
      </c>
      <c r="P186" t="s">
        <v>28</v>
      </c>
      <c r="Q186" t="s">
        <v>614</v>
      </c>
      <c r="R186" t="s">
        <v>615</v>
      </c>
      <c r="S186" t="s">
        <v>616</v>
      </c>
      <c r="T186" t="s">
        <v>617</v>
      </c>
      <c r="U186" t="s">
        <v>618</v>
      </c>
      <c r="V186" t="s">
        <v>32</v>
      </c>
      <c r="W186">
        <v>30</v>
      </c>
      <c r="X186" s="1">
        <v>46071.393792499788</v>
      </c>
    </row>
    <row r="187" spans="1:24" x14ac:dyDescent="0.2">
      <c r="A187" t="s">
        <v>619</v>
      </c>
      <c r="B187" t="s">
        <v>620</v>
      </c>
      <c r="C187" t="s">
        <v>25</v>
      </c>
      <c r="D187">
        <v>0</v>
      </c>
      <c r="E187" t="s">
        <v>613</v>
      </c>
      <c r="F187" t="s">
        <v>27</v>
      </c>
      <c r="G187" s="1">
        <v>46074</v>
      </c>
      <c r="H187" s="1">
        <v>46099</v>
      </c>
      <c r="I187">
        <v>0</v>
      </c>
      <c r="J187">
        <v>296036</v>
      </c>
      <c r="K187">
        <v>0</v>
      </c>
      <c r="L187">
        <v>0</v>
      </c>
      <c r="M187">
        <v>0</v>
      </c>
      <c r="N187">
        <v>1</v>
      </c>
      <c r="O187">
        <f t="shared" si="2"/>
        <v>296036</v>
      </c>
      <c r="P187" t="s">
        <v>28</v>
      </c>
      <c r="Q187" t="s">
        <v>614</v>
      </c>
      <c r="R187" t="s">
        <v>615</v>
      </c>
      <c r="S187" t="s">
        <v>616</v>
      </c>
      <c r="T187" t="s">
        <v>617</v>
      </c>
      <c r="U187" t="s">
        <v>618</v>
      </c>
      <c r="V187" t="s">
        <v>32</v>
      </c>
      <c r="W187">
        <v>30</v>
      </c>
      <c r="X187" s="1">
        <v>46074.438130810391</v>
      </c>
    </row>
    <row r="188" spans="1:24" x14ac:dyDescent="0.2">
      <c r="A188" t="s">
        <v>621</v>
      </c>
      <c r="B188" t="s">
        <v>622</v>
      </c>
      <c r="C188" t="s">
        <v>25</v>
      </c>
      <c r="D188">
        <v>0</v>
      </c>
      <c r="E188" t="s">
        <v>613</v>
      </c>
      <c r="F188" t="s">
        <v>27</v>
      </c>
      <c r="G188" s="1">
        <v>46074</v>
      </c>
      <c r="H188" s="1">
        <v>46099</v>
      </c>
      <c r="I188">
        <v>0</v>
      </c>
      <c r="J188">
        <v>7836916</v>
      </c>
      <c r="K188">
        <v>0</v>
      </c>
      <c r="L188">
        <v>0</v>
      </c>
      <c r="M188">
        <v>0</v>
      </c>
      <c r="N188">
        <v>1</v>
      </c>
      <c r="O188">
        <f t="shared" si="2"/>
        <v>7836916</v>
      </c>
      <c r="P188" t="s">
        <v>28</v>
      </c>
      <c r="Q188" t="s">
        <v>614</v>
      </c>
      <c r="R188" t="s">
        <v>615</v>
      </c>
      <c r="S188" t="s">
        <v>616</v>
      </c>
      <c r="T188" t="s">
        <v>617</v>
      </c>
      <c r="U188" t="s">
        <v>618</v>
      </c>
      <c r="V188" t="s">
        <v>32</v>
      </c>
      <c r="W188">
        <v>30</v>
      </c>
      <c r="X188" s="1">
        <v>46074.436872789171</v>
      </c>
    </row>
    <row r="189" spans="1:24" x14ac:dyDescent="0.2">
      <c r="A189" t="s">
        <v>623</v>
      </c>
      <c r="B189" t="s">
        <v>624</v>
      </c>
      <c r="C189" t="s">
        <v>25</v>
      </c>
      <c r="D189">
        <v>0</v>
      </c>
      <c r="E189" t="s">
        <v>613</v>
      </c>
      <c r="F189" t="s">
        <v>27</v>
      </c>
      <c r="G189" s="1">
        <v>46081</v>
      </c>
      <c r="H189" s="1">
        <v>46106</v>
      </c>
      <c r="I189">
        <v>0</v>
      </c>
      <c r="J189">
        <v>3918456</v>
      </c>
      <c r="K189">
        <v>0</v>
      </c>
      <c r="L189">
        <v>0</v>
      </c>
      <c r="M189">
        <v>0</v>
      </c>
      <c r="N189">
        <v>1</v>
      </c>
      <c r="O189">
        <f t="shared" si="2"/>
        <v>3918456</v>
      </c>
      <c r="P189" t="s">
        <v>28</v>
      </c>
      <c r="Q189" t="s">
        <v>614</v>
      </c>
      <c r="R189" t="s">
        <v>615</v>
      </c>
      <c r="S189" t="s">
        <v>616</v>
      </c>
      <c r="T189" t="s">
        <v>617</v>
      </c>
      <c r="U189" t="s">
        <v>618</v>
      </c>
      <c r="V189" t="s">
        <v>32</v>
      </c>
      <c r="W189">
        <v>30</v>
      </c>
      <c r="X189" s="1">
        <v>46081.619526770897</v>
      </c>
    </row>
    <row r="190" spans="1:24" x14ac:dyDescent="0.2">
      <c r="A190" t="s">
        <v>625</v>
      </c>
      <c r="B190" t="s">
        <v>626</v>
      </c>
      <c r="C190" t="s">
        <v>25</v>
      </c>
      <c r="D190">
        <v>0</v>
      </c>
      <c r="E190" t="s">
        <v>613</v>
      </c>
      <c r="F190" t="s">
        <v>27</v>
      </c>
      <c r="G190" s="1">
        <v>46081</v>
      </c>
      <c r="H190" s="1">
        <v>46106</v>
      </c>
      <c r="I190">
        <v>0</v>
      </c>
      <c r="J190">
        <v>7364292</v>
      </c>
      <c r="K190">
        <v>472165</v>
      </c>
      <c r="L190">
        <v>0</v>
      </c>
      <c r="M190">
        <v>0</v>
      </c>
      <c r="N190">
        <v>1</v>
      </c>
      <c r="O190">
        <f t="shared" si="2"/>
        <v>6892127</v>
      </c>
      <c r="P190" t="s">
        <v>28</v>
      </c>
      <c r="Q190" t="s">
        <v>614</v>
      </c>
      <c r="R190" t="s">
        <v>615</v>
      </c>
      <c r="S190" t="s">
        <v>616</v>
      </c>
      <c r="T190" t="s">
        <v>617</v>
      </c>
      <c r="U190" t="s">
        <v>618</v>
      </c>
      <c r="V190" t="s">
        <v>32</v>
      </c>
      <c r="W190">
        <v>30</v>
      </c>
      <c r="X190" s="1">
        <v>46081.621018541511</v>
      </c>
    </row>
    <row r="191" spans="1:24" x14ac:dyDescent="0.2">
      <c r="A191" t="s">
        <v>627</v>
      </c>
      <c r="B191" t="s">
        <v>628</v>
      </c>
      <c r="C191" t="s">
        <v>25</v>
      </c>
      <c r="D191">
        <v>0</v>
      </c>
      <c r="E191" t="s">
        <v>613</v>
      </c>
      <c r="F191" t="s">
        <v>27</v>
      </c>
      <c r="G191" s="1">
        <v>46098</v>
      </c>
      <c r="H191" s="1">
        <v>46128</v>
      </c>
      <c r="I191">
        <v>7836915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f t="shared" si="2"/>
        <v>7836915</v>
      </c>
      <c r="P191" t="s">
        <v>28</v>
      </c>
      <c r="Q191" t="s">
        <v>614</v>
      </c>
      <c r="R191" t="s">
        <v>615</v>
      </c>
      <c r="S191" t="s">
        <v>616</v>
      </c>
      <c r="T191" t="s">
        <v>617</v>
      </c>
      <c r="U191" t="s">
        <v>618</v>
      </c>
      <c r="V191" t="s">
        <v>32</v>
      </c>
      <c r="W191">
        <v>30</v>
      </c>
      <c r="X191" s="1">
        <v>46098.645439803135</v>
      </c>
    </row>
    <row r="192" spans="1:24" x14ac:dyDescent="0.2">
      <c r="A192" t="s">
        <v>629</v>
      </c>
      <c r="B192" t="s">
        <v>630</v>
      </c>
      <c r="C192" t="s">
        <v>25</v>
      </c>
      <c r="D192">
        <v>0</v>
      </c>
      <c r="E192" t="s">
        <v>613</v>
      </c>
      <c r="F192" t="s">
        <v>27</v>
      </c>
      <c r="G192" s="1">
        <v>46098</v>
      </c>
      <c r="H192" s="1">
        <v>46128</v>
      </c>
      <c r="I192">
        <v>11502909</v>
      </c>
      <c r="J192">
        <v>0</v>
      </c>
      <c r="K192">
        <v>0</v>
      </c>
      <c r="L192">
        <v>0</v>
      </c>
      <c r="M192">
        <v>0</v>
      </c>
      <c r="N192">
        <v>0</v>
      </c>
      <c r="O192">
        <f t="shared" si="2"/>
        <v>11502909</v>
      </c>
      <c r="P192" t="s">
        <v>28</v>
      </c>
      <c r="Q192" t="s">
        <v>614</v>
      </c>
      <c r="R192" t="s">
        <v>615</v>
      </c>
      <c r="S192" t="s">
        <v>616</v>
      </c>
      <c r="T192" t="s">
        <v>617</v>
      </c>
      <c r="U192" t="s">
        <v>618</v>
      </c>
      <c r="V192" t="s">
        <v>32</v>
      </c>
      <c r="W192">
        <v>30</v>
      </c>
      <c r="X192" s="1">
        <v>46098.649988414254</v>
      </c>
    </row>
    <row r="193" spans="1:24" x14ac:dyDescent="0.2">
      <c r="A193" t="s">
        <v>631</v>
      </c>
      <c r="B193" t="s">
        <v>632</v>
      </c>
      <c r="C193" t="s">
        <v>25</v>
      </c>
      <c r="D193">
        <v>0</v>
      </c>
      <c r="E193" t="s">
        <v>633</v>
      </c>
      <c r="F193" t="s">
        <v>27</v>
      </c>
      <c r="G193" s="1">
        <v>46095</v>
      </c>
      <c r="H193" s="1">
        <v>46095</v>
      </c>
      <c r="I193">
        <v>160400</v>
      </c>
      <c r="J193">
        <v>0</v>
      </c>
      <c r="K193">
        <v>160500</v>
      </c>
      <c r="L193">
        <v>0</v>
      </c>
      <c r="M193">
        <v>1</v>
      </c>
      <c r="N193">
        <v>0</v>
      </c>
      <c r="O193">
        <f t="shared" si="2"/>
        <v>-100</v>
      </c>
      <c r="P193" t="s">
        <v>28</v>
      </c>
      <c r="Q193" t="s">
        <v>634</v>
      </c>
      <c r="R193" t="s">
        <v>635</v>
      </c>
      <c r="S193" t="s">
        <v>32</v>
      </c>
      <c r="T193" t="s">
        <v>32</v>
      </c>
      <c r="U193" t="s">
        <v>636</v>
      </c>
      <c r="V193" t="s">
        <v>32</v>
      </c>
      <c r="W193">
        <v>0</v>
      </c>
      <c r="X193" s="1">
        <v>46097.357199074235</v>
      </c>
    </row>
    <row r="194" spans="1:24" x14ac:dyDescent="0.2">
      <c r="A194" t="s">
        <v>102</v>
      </c>
      <c r="B194" t="s">
        <v>637</v>
      </c>
      <c r="C194" t="s">
        <v>25</v>
      </c>
      <c r="D194">
        <v>0</v>
      </c>
      <c r="E194" t="s">
        <v>638</v>
      </c>
      <c r="F194" t="s">
        <v>27</v>
      </c>
      <c r="G194" s="1">
        <v>46095</v>
      </c>
      <c r="H194" s="1">
        <v>46095</v>
      </c>
      <c r="I194">
        <v>240000</v>
      </c>
      <c r="J194">
        <v>0</v>
      </c>
      <c r="K194">
        <v>554000</v>
      </c>
      <c r="L194">
        <v>0</v>
      </c>
      <c r="M194">
        <v>1</v>
      </c>
      <c r="N194">
        <v>0</v>
      </c>
      <c r="O194">
        <f t="shared" si="2"/>
        <v>-314000</v>
      </c>
      <c r="P194" t="s">
        <v>28</v>
      </c>
      <c r="Q194" t="s">
        <v>639</v>
      </c>
      <c r="R194" t="s">
        <v>640</v>
      </c>
      <c r="S194" t="s">
        <v>32</v>
      </c>
      <c r="T194" t="s">
        <v>32</v>
      </c>
      <c r="U194" t="s">
        <v>641</v>
      </c>
      <c r="V194" t="s">
        <v>32</v>
      </c>
      <c r="W194">
        <v>0</v>
      </c>
      <c r="X194" s="1">
        <v>46097.366631944664</v>
      </c>
    </row>
    <row r="195" spans="1:24" x14ac:dyDescent="0.2">
      <c r="A195" t="s">
        <v>642</v>
      </c>
      <c r="B195" t="s">
        <v>643</v>
      </c>
      <c r="C195" t="s">
        <v>25</v>
      </c>
      <c r="D195">
        <v>0</v>
      </c>
      <c r="E195" t="s">
        <v>644</v>
      </c>
      <c r="F195" t="s">
        <v>27</v>
      </c>
      <c r="G195" s="1">
        <v>45929</v>
      </c>
      <c r="H195" s="1">
        <v>45930</v>
      </c>
      <c r="I195">
        <v>0</v>
      </c>
      <c r="J195">
        <v>9740140</v>
      </c>
      <c r="K195">
        <v>0</v>
      </c>
      <c r="L195">
        <v>0</v>
      </c>
      <c r="M195">
        <v>1</v>
      </c>
      <c r="N195">
        <v>1</v>
      </c>
      <c r="O195">
        <f t="shared" si="2"/>
        <v>9740140</v>
      </c>
      <c r="P195" t="s">
        <v>28</v>
      </c>
      <c r="Q195" t="s">
        <v>645</v>
      </c>
      <c r="R195" t="s">
        <v>646</v>
      </c>
      <c r="S195" t="s">
        <v>32</v>
      </c>
      <c r="T195" t="s">
        <v>32</v>
      </c>
      <c r="U195" t="s">
        <v>647</v>
      </c>
      <c r="V195" t="s">
        <v>32</v>
      </c>
      <c r="W195">
        <v>0</v>
      </c>
      <c r="X195" s="1">
        <v>45930.724170601927</v>
      </c>
    </row>
    <row r="196" spans="1:24" x14ac:dyDescent="0.2">
      <c r="A196" t="s">
        <v>648</v>
      </c>
      <c r="B196" t="s">
        <v>649</v>
      </c>
      <c r="C196" t="s">
        <v>25</v>
      </c>
      <c r="D196">
        <v>0</v>
      </c>
      <c r="E196" t="s">
        <v>650</v>
      </c>
      <c r="F196" t="s">
        <v>27</v>
      </c>
      <c r="G196" s="1">
        <v>45930</v>
      </c>
      <c r="H196" s="1">
        <v>45930</v>
      </c>
      <c r="I196">
        <v>0</v>
      </c>
      <c r="J196">
        <v>4600</v>
      </c>
      <c r="K196">
        <v>0</v>
      </c>
      <c r="L196">
        <v>0</v>
      </c>
      <c r="M196">
        <v>1</v>
      </c>
      <c r="N196">
        <v>1</v>
      </c>
      <c r="O196">
        <f t="shared" ref="O196:O242" si="3">+J196+I196-K196+L196</f>
        <v>4600</v>
      </c>
      <c r="P196" t="s">
        <v>28</v>
      </c>
      <c r="Q196" t="s">
        <v>651</v>
      </c>
      <c r="R196" t="s">
        <v>652</v>
      </c>
      <c r="S196" t="s">
        <v>32</v>
      </c>
      <c r="T196" t="s">
        <v>32</v>
      </c>
      <c r="U196" t="s">
        <v>32</v>
      </c>
      <c r="V196" t="s">
        <v>32</v>
      </c>
      <c r="W196">
        <v>0</v>
      </c>
      <c r="X196" s="1">
        <v>45930.744702997617</v>
      </c>
    </row>
    <row r="197" spans="1:24" x14ac:dyDescent="0.2">
      <c r="A197" t="s">
        <v>653</v>
      </c>
      <c r="B197" t="s">
        <v>654</v>
      </c>
      <c r="C197" t="s">
        <v>25</v>
      </c>
      <c r="D197">
        <v>0</v>
      </c>
      <c r="E197" t="s">
        <v>655</v>
      </c>
      <c r="F197" t="s">
        <v>27</v>
      </c>
      <c r="G197" s="1">
        <v>46079</v>
      </c>
      <c r="H197" s="1">
        <v>46109</v>
      </c>
      <c r="I197">
        <v>0</v>
      </c>
      <c r="J197">
        <v>10146146</v>
      </c>
      <c r="K197">
        <v>0</v>
      </c>
      <c r="L197">
        <v>0</v>
      </c>
      <c r="M197">
        <v>0</v>
      </c>
      <c r="N197">
        <v>1</v>
      </c>
      <c r="O197">
        <f t="shared" si="3"/>
        <v>10146146</v>
      </c>
      <c r="P197" t="s">
        <v>28</v>
      </c>
      <c r="Q197" t="s">
        <v>656</v>
      </c>
      <c r="R197" t="s">
        <v>657</v>
      </c>
      <c r="S197" t="s">
        <v>178</v>
      </c>
      <c r="T197" t="s">
        <v>658</v>
      </c>
      <c r="U197" t="s">
        <v>659</v>
      </c>
      <c r="V197" t="s">
        <v>660</v>
      </c>
      <c r="W197">
        <v>30</v>
      </c>
      <c r="X197" s="1">
        <v>46080.414266770706</v>
      </c>
    </row>
    <row r="198" spans="1:24" x14ac:dyDescent="0.2">
      <c r="A198" t="s">
        <v>661</v>
      </c>
      <c r="B198" t="s">
        <v>662</v>
      </c>
      <c r="C198" t="s">
        <v>25</v>
      </c>
      <c r="D198">
        <v>0</v>
      </c>
      <c r="E198" t="s">
        <v>655</v>
      </c>
      <c r="F198" t="s">
        <v>27</v>
      </c>
      <c r="G198" s="1">
        <v>46080</v>
      </c>
      <c r="H198" s="1">
        <v>46110</v>
      </c>
      <c r="I198">
        <v>0</v>
      </c>
      <c r="J198">
        <v>4348348</v>
      </c>
      <c r="K198">
        <v>0</v>
      </c>
      <c r="L198">
        <v>0</v>
      </c>
      <c r="M198">
        <v>0</v>
      </c>
      <c r="N198">
        <v>1</v>
      </c>
      <c r="O198">
        <f t="shared" si="3"/>
        <v>4348348</v>
      </c>
      <c r="P198" t="s">
        <v>28</v>
      </c>
      <c r="Q198" t="s">
        <v>656</v>
      </c>
      <c r="R198" t="s">
        <v>657</v>
      </c>
      <c r="S198" t="s">
        <v>178</v>
      </c>
      <c r="T198" t="s">
        <v>658</v>
      </c>
      <c r="U198" t="s">
        <v>659</v>
      </c>
      <c r="V198" t="s">
        <v>660</v>
      </c>
      <c r="W198">
        <v>30</v>
      </c>
      <c r="X198" s="1">
        <v>46080.707778935321</v>
      </c>
    </row>
    <row r="199" spans="1:24" x14ac:dyDescent="0.2">
      <c r="A199" t="s">
        <v>663</v>
      </c>
      <c r="B199" t="s">
        <v>664</v>
      </c>
      <c r="C199" t="s">
        <v>25</v>
      </c>
      <c r="D199">
        <v>0</v>
      </c>
      <c r="E199" t="s">
        <v>665</v>
      </c>
      <c r="F199" t="s">
        <v>27</v>
      </c>
      <c r="G199" s="1">
        <v>45714</v>
      </c>
      <c r="H199" s="1">
        <v>45714</v>
      </c>
      <c r="I199">
        <v>0</v>
      </c>
      <c r="J199">
        <v>100</v>
      </c>
      <c r="K199">
        <v>0</v>
      </c>
      <c r="L199">
        <v>0</v>
      </c>
      <c r="M199">
        <v>1</v>
      </c>
      <c r="N199">
        <v>1</v>
      </c>
      <c r="O199">
        <f t="shared" si="3"/>
        <v>100</v>
      </c>
      <c r="P199" t="s">
        <v>28</v>
      </c>
      <c r="Q199" t="s">
        <v>666</v>
      </c>
      <c r="R199" t="s">
        <v>667</v>
      </c>
      <c r="S199" t="s">
        <v>32</v>
      </c>
      <c r="T199" t="s">
        <v>32</v>
      </c>
      <c r="U199" t="s">
        <v>668</v>
      </c>
      <c r="V199" t="s">
        <v>669</v>
      </c>
      <c r="W199">
        <v>0</v>
      </c>
      <c r="X199" s="1">
        <v>45714.450478819665</v>
      </c>
    </row>
    <row r="200" spans="1:24" x14ac:dyDescent="0.2">
      <c r="A200" t="s">
        <v>670</v>
      </c>
      <c r="B200" t="s">
        <v>671</v>
      </c>
      <c r="C200" t="s">
        <v>25</v>
      </c>
      <c r="D200">
        <v>0</v>
      </c>
      <c r="E200" t="s">
        <v>672</v>
      </c>
      <c r="F200" t="s">
        <v>27</v>
      </c>
      <c r="G200" s="1">
        <v>46070</v>
      </c>
      <c r="H200" s="1">
        <v>46103</v>
      </c>
      <c r="I200">
        <v>0</v>
      </c>
      <c r="J200">
        <v>576000</v>
      </c>
      <c r="K200">
        <v>0</v>
      </c>
      <c r="L200">
        <v>0</v>
      </c>
      <c r="M200">
        <v>1</v>
      </c>
      <c r="N200">
        <v>1</v>
      </c>
      <c r="O200">
        <f t="shared" si="3"/>
        <v>576000</v>
      </c>
      <c r="P200" t="s">
        <v>28</v>
      </c>
      <c r="Q200" t="s">
        <v>673</v>
      </c>
      <c r="R200" t="s">
        <v>674</v>
      </c>
      <c r="S200" t="s">
        <v>32</v>
      </c>
      <c r="T200" t="s">
        <v>32</v>
      </c>
      <c r="U200" t="s">
        <v>675</v>
      </c>
      <c r="V200" t="s">
        <v>32</v>
      </c>
      <c r="W200">
        <v>0</v>
      </c>
      <c r="X200" s="1">
        <v>46071.713573680725</v>
      </c>
    </row>
    <row r="201" spans="1:24" x14ac:dyDescent="0.2">
      <c r="A201" t="s">
        <v>676</v>
      </c>
      <c r="B201" t="s">
        <v>677</v>
      </c>
      <c r="C201" t="s">
        <v>25</v>
      </c>
      <c r="D201">
        <v>0</v>
      </c>
      <c r="E201" t="s">
        <v>672</v>
      </c>
      <c r="F201" t="s">
        <v>27</v>
      </c>
      <c r="G201" s="1">
        <v>46072</v>
      </c>
      <c r="H201" s="1">
        <v>46105</v>
      </c>
      <c r="I201">
        <v>0</v>
      </c>
      <c r="J201">
        <v>307500</v>
      </c>
      <c r="K201">
        <v>0</v>
      </c>
      <c r="L201">
        <v>0</v>
      </c>
      <c r="M201">
        <v>1</v>
      </c>
      <c r="N201">
        <v>1</v>
      </c>
      <c r="O201">
        <f t="shared" si="3"/>
        <v>307500</v>
      </c>
      <c r="P201" t="s">
        <v>28</v>
      </c>
      <c r="Q201" t="s">
        <v>673</v>
      </c>
      <c r="R201" t="s">
        <v>674</v>
      </c>
      <c r="S201" t="s">
        <v>32</v>
      </c>
      <c r="T201" t="s">
        <v>32</v>
      </c>
      <c r="U201" t="s">
        <v>675</v>
      </c>
      <c r="V201" t="s">
        <v>32</v>
      </c>
      <c r="W201">
        <v>0</v>
      </c>
      <c r="X201" s="1">
        <v>46072.61248872662</v>
      </c>
    </row>
    <row r="202" spans="1:24" x14ac:dyDescent="0.2">
      <c r="A202" t="s">
        <v>678</v>
      </c>
      <c r="B202" t="s">
        <v>679</v>
      </c>
      <c r="C202" t="s">
        <v>25</v>
      </c>
      <c r="D202">
        <v>0</v>
      </c>
      <c r="E202" t="s">
        <v>672</v>
      </c>
      <c r="F202" t="s">
        <v>27</v>
      </c>
      <c r="G202" s="1">
        <v>46072</v>
      </c>
      <c r="H202" s="1">
        <v>46105</v>
      </c>
      <c r="I202">
        <v>0</v>
      </c>
      <c r="J202">
        <v>241500</v>
      </c>
      <c r="K202">
        <v>0</v>
      </c>
      <c r="L202">
        <v>0</v>
      </c>
      <c r="M202">
        <v>1</v>
      </c>
      <c r="N202">
        <v>1</v>
      </c>
      <c r="O202">
        <f t="shared" si="3"/>
        <v>241500</v>
      </c>
      <c r="P202" t="s">
        <v>28</v>
      </c>
      <c r="Q202" t="s">
        <v>673</v>
      </c>
      <c r="R202" t="s">
        <v>674</v>
      </c>
      <c r="S202" t="s">
        <v>32</v>
      </c>
      <c r="T202" t="s">
        <v>32</v>
      </c>
      <c r="U202" t="s">
        <v>675</v>
      </c>
      <c r="V202" t="s">
        <v>32</v>
      </c>
      <c r="W202">
        <v>0</v>
      </c>
      <c r="X202" s="1">
        <v>46072.615204849746</v>
      </c>
    </row>
    <row r="203" spans="1:24" x14ac:dyDescent="0.2">
      <c r="A203" t="s">
        <v>680</v>
      </c>
      <c r="B203" t="s">
        <v>681</v>
      </c>
      <c r="C203" t="s">
        <v>25</v>
      </c>
      <c r="D203">
        <v>0</v>
      </c>
      <c r="E203" t="s">
        <v>672</v>
      </c>
      <c r="F203" t="s">
        <v>27</v>
      </c>
      <c r="G203" s="1">
        <v>46072</v>
      </c>
      <c r="H203" s="1">
        <v>46105</v>
      </c>
      <c r="I203">
        <v>0</v>
      </c>
      <c r="J203">
        <v>172500</v>
      </c>
      <c r="K203">
        <v>0</v>
      </c>
      <c r="L203">
        <v>0</v>
      </c>
      <c r="M203">
        <v>1</v>
      </c>
      <c r="N203">
        <v>1</v>
      </c>
      <c r="O203">
        <f t="shared" si="3"/>
        <v>172500</v>
      </c>
      <c r="P203" t="s">
        <v>28</v>
      </c>
      <c r="Q203" t="s">
        <v>673</v>
      </c>
      <c r="R203" t="s">
        <v>674</v>
      </c>
      <c r="S203" t="s">
        <v>32</v>
      </c>
      <c r="T203" t="s">
        <v>32</v>
      </c>
      <c r="U203" t="s">
        <v>675</v>
      </c>
      <c r="V203" t="s">
        <v>32</v>
      </c>
      <c r="W203">
        <v>0</v>
      </c>
      <c r="X203" s="1">
        <v>46077.448088529985</v>
      </c>
    </row>
    <row r="204" spans="1:24" x14ac:dyDescent="0.2">
      <c r="A204" t="s">
        <v>682</v>
      </c>
      <c r="B204" t="s">
        <v>683</v>
      </c>
      <c r="C204" t="s">
        <v>25</v>
      </c>
      <c r="D204">
        <v>0</v>
      </c>
      <c r="E204" t="s">
        <v>672</v>
      </c>
      <c r="F204" t="s">
        <v>27</v>
      </c>
      <c r="G204" s="1">
        <v>46073</v>
      </c>
      <c r="H204" s="1">
        <v>46106</v>
      </c>
      <c r="I204">
        <v>0</v>
      </c>
      <c r="J204">
        <v>35000</v>
      </c>
      <c r="K204">
        <v>0</v>
      </c>
      <c r="L204">
        <v>0</v>
      </c>
      <c r="M204">
        <v>1</v>
      </c>
      <c r="N204">
        <v>1</v>
      </c>
      <c r="O204">
        <f t="shared" si="3"/>
        <v>35000</v>
      </c>
      <c r="P204" t="s">
        <v>28</v>
      </c>
      <c r="Q204" t="s">
        <v>673</v>
      </c>
      <c r="R204" t="s">
        <v>674</v>
      </c>
      <c r="S204" t="s">
        <v>32</v>
      </c>
      <c r="T204" t="s">
        <v>32</v>
      </c>
      <c r="U204" t="s">
        <v>675</v>
      </c>
      <c r="V204" t="s">
        <v>32</v>
      </c>
      <c r="W204">
        <v>0</v>
      </c>
      <c r="X204" s="1">
        <v>46081.541256701574</v>
      </c>
    </row>
    <row r="205" spans="1:24" x14ac:dyDescent="0.2">
      <c r="A205" t="s">
        <v>684</v>
      </c>
      <c r="B205" t="s">
        <v>685</v>
      </c>
      <c r="C205" t="s">
        <v>25</v>
      </c>
      <c r="D205">
        <v>0</v>
      </c>
      <c r="E205" t="s">
        <v>672</v>
      </c>
      <c r="F205" t="s">
        <v>27</v>
      </c>
      <c r="G205" s="1">
        <v>46074</v>
      </c>
      <c r="H205" s="1">
        <v>46107</v>
      </c>
      <c r="I205">
        <v>0</v>
      </c>
      <c r="J205">
        <v>1025200</v>
      </c>
      <c r="K205">
        <v>0</v>
      </c>
      <c r="L205">
        <v>0</v>
      </c>
      <c r="M205">
        <v>1</v>
      </c>
      <c r="N205">
        <v>1</v>
      </c>
      <c r="O205">
        <f t="shared" si="3"/>
        <v>1025200</v>
      </c>
      <c r="P205" t="s">
        <v>28</v>
      </c>
      <c r="Q205" t="s">
        <v>673</v>
      </c>
      <c r="R205" t="s">
        <v>674</v>
      </c>
      <c r="S205" t="s">
        <v>32</v>
      </c>
      <c r="T205" t="s">
        <v>32</v>
      </c>
      <c r="U205" t="s">
        <v>675</v>
      </c>
      <c r="V205" t="s">
        <v>32</v>
      </c>
      <c r="W205">
        <v>0</v>
      </c>
      <c r="X205" s="1">
        <v>46077.710157546215</v>
      </c>
    </row>
    <row r="206" spans="1:24" x14ac:dyDescent="0.2">
      <c r="A206" t="s">
        <v>686</v>
      </c>
      <c r="B206" t="s">
        <v>687</v>
      </c>
      <c r="C206" t="s">
        <v>25</v>
      </c>
      <c r="D206">
        <v>0</v>
      </c>
      <c r="E206" t="s">
        <v>672</v>
      </c>
      <c r="F206" t="s">
        <v>27</v>
      </c>
      <c r="G206" s="1">
        <v>46074</v>
      </c>
      <c r="H206" s="1">
        <v>46107</v>
      </c>
      <c r="I206">
        <v>0</v>
      </c>
      <c r="J206">
        <v>369160</v>
      </c>
      <c r="K206">
        <v>0</v>
      </c>
      <c r="L206">
        <v>0</v>
      </c>
      <c r="M206">
        <v>1</v>
      </c>
      <c r="N206">
        <v>1</v>
      </c>
      <c r="O206">
        <f t="shared" si="3"/>
        <v>369160</v>
      </c>
      <c r="P206" t="s">
        <v>28</v>
      </c>
      <c r="Q206" t="s">
        <v>673</v>
      </c>
      <c r="R206" t="s">
        <v>674</v>
      </c>
      <c r="S206" t="s">
        <v>32</v>
      </c>
      <c r="T206" t="s">
        <v>32</v>
      </c>
      <c r="U206" t="s">
        <v>675</v>
      </c>
      <c r="V206" t="s">
        <v>32</v>
      </c>
      <c r="W206">
        <v>0</v>
      </c>
      <c r="X206" s="1">
        <v>46077.496152916458</v>
      </c>
    </row>
    <row r="207" spans="1:24" x14ac:dyDescent="0.2">
      <c r="A207" t="s">
        <v>688</v>
      </c>
      <c r="B207" t="s">
        <v>689</v>
      </c>
      <c r="C207" t="s">
        <v>25</v>
      </c>
      <c r="D207">
        <v>0</v>
      </c>
      <c r="E207" t="s">
        <v>672</v>
      </c>
      <c r="F207" t="s">
        <v>27</v>
      </c>
      <c r="G207" s="1">
        <v>46076</v>
      </c>
      <c r="H207" s="1">
        <v>46109</v>
      </c>
      <c r="I207">
        <v>0</v>
      </c>
      <c r="J207">
        <v>73000</v>
      </c>
      <c r="K207">
        <v>0</v>
      </c>
      <c r="L207">
        <v>0</v>
      </c>
      <c r="M207">
        <v>1</v>
      </c>
      <c r="N207">
        <v>1</v>
      </c>
      <c r="O207">
        <f t="shared" si="3"/>
        <v>73000</v>
      </c>
      <c r="P207" t="s">
        <v>28</v>
      </c>
      <c r="Q207" t="s">
        <v>673</v>
      </c>
      <c r="R207" t="s">
        <v>674</v>
      </c>
      <c r="S207" t="s">
        <v>32</v>
      </c>
      <c r="T207" t="s">
        <v>32</v>
      </c>
      <c r="U207" t="s">
        <v>675</v>
      </c>
      <c r="V207" t="s">
        <v>32</v>
      </c>
      <c r="W207">
        <v>0</v>
      </c>
      <c r="X207" s="1">
        <v>46077.493211956229</v>
      </c>
    </row>
    <row r="208" spans="1:24" x14ac:dyDescent="0.2">
      <c r="A208" t="s">
        <v>690</v>
      </c>
      <c r="B208" t="s">
        <v>691</v>
      </c>
      <c r="C208" t="s">
        <v>25</v>
      </c>
      <c r="D208">
        <v>0</v>
      </c>
      <c r="E208" t="s">
        <v>672</v>
      </c>
      <c r="F208" t="s">
        <v>27</v>
      </c>
      <c r="G208" s="1">
        <v>46076</v>
      </c>
      <c r="H208" s="1">
        <v>46109</v>
      </c>
      <c r="I208">
        <v>0</v>
      </c>
      <c r="J208">
        <v>287500</v>
      </c>
      <c r="K208">
        <v>0</v>
      </c>
      <c r="L208">
        <v>0</v>
      </c>
      <c r="M208">
        <v>1</v>
      </c>
      <c r="N208">
        <v>1</v>
      </c>
      <c r="O208">
        <f t="shared" si="3"/>
        <v>287500</v>
      </c>
      <c r="P208" t="s">
        <v>28</v>
      </c>
      <c r="Q208" t="s">
        <v>673</v>
      </c>
      <c r="R208" t="s">
        <v>674</v>
      </c>
      <c r="S208" t="s">
        <v>32</v>
      </c>
      <c r="T208" t="s">
        <v>32</v>
      </c>
      <c r="U208" t="s">
        <v>675</v>
      </c>
      <c r="V208" t="s">
        <v>32</v>
      </c>
      <c r="W208">
        <v>0</v>
      </c>
      <c r="X208" s="1">
        <v>46077.490534490906</v>
      </c>
    </row>
    <row r="209" spans="1:24" x14ac:dyDescent="0.2">
      <c r="A209" t="s">
        <v>692</v>
      </c>
      <c r="B209" t="s">
        <v>693</v>
      </c>
      <c r="C209" t="s">
        <v>25</v>
      </c>
      <c r="D209">
        <v>0</v>
      </c>
      <c r="E209" t="s">
        <v>672</v>
      </c>
      <c r="F209" t="s">
        <v>27</v>
      </c>
      <c r="G209" s="1">
        <v>46076</v>
      </c>
      <c r="H209" s="1">
        <v>46109</v>
      </c>
      <c r="I209">
        <v>0</v>
      </c>
      <c r="J209">
        <v>417500</v>
      </c>
      <c r="K209">
        <v>0</v>
      </c>
      <c r="L209">
        <v>0</v>
      </c>
      <c r="M209">
        <v>1</v>
      </c>
      <c r="N209">
        <v>1</v>
      </c>
      <c r="O209">
        <f t="shared" si="3"/>
        <v>417500</v>
      </c>
      <c r="P209" t="s">
        <v>28</v>
      </c>
      <c r="Q209" t="s">
        <v>673</v>
      </c>
      <c r="R209" t="s">
        <v>674</v>
      </c>
      <c r="S209" t="s">
        <v>32</v>
      </c>
      <c r="T209" t="s">
        <v>32</v>
      </c>
      <c r="U209" t="s">
        <v>675</v>
      </c>
      <c r="V209" t="s">
        <v>32</v>
      </c>
      <c r="W209">
        <v>0</v>
      </c>
      <c r="X209" s="1">
        <v>46077.722067442257</v>
      </c>
    </row>
    <row r="210" spans="1:24" x14ac:dyDescent="0.2">
      <c r="A210" t="s">
        <v>694</v>
      </c>
      <c r="B210" t="s">
        <v>695</v>
      </c>
      <c r="C210" t="s">
        <v>25</v>
      </c>
      <c r="D210">
        <v>0</v>
      </c>
      <c r="E210" t="s">
        <v>672</v>
      </c>
      <c r="F210" t="s">
        <v>27</v>
      </c>
      <c r="G210" s="1">
        <v>46076</v>
      </c>
      <c r="H210" s="1">
        <v>46109</v>
      </c>
      <c r="I210">
        <v>0</v>
      </c>
      <c r="J210">
        <v>322000</v>
      </c>
      <c r="K210">
        <v>0</v>
      </c>
      <c r="L210">
        <v>0</v>
      </c>
      <c r="M210">
        <v>1</v>
      </c>
      <c r="N210">
        <v>1</v>
      </c>
      <c r="O210">
        <f t="shared" si="3"/>
        <v>322000</v>
      </c>
      <c r="P210" t="s">
        <v>28</v>
      </c>
      <c r="Q210" t="s">
        <v>673</v>
      </c>
      <c r="R210" t="s">
        <v>674</v>
      </c>
      <c r="S210" t="s">
        <v>32</v>
      </c>
      <c r="T210" t="s">
        <v>32</v>
      </c>
      <c r="U210" t="s">
        <v>675</v>
      </c>
      <c r="V210" t="s">
        <v>32</v>
      </c>
      <c r="W210">
        <v>0</v>
      </c>
      <c r="X210" s="1">
        <v>46077.72429644689</v>
      </c>
    </row>
    <row r="211" spans="1:24" x14ac:dyDescent="0.2">
      <c r="A211" t="s">
        <v>696</v>
      </c>
      <c r="B211" t="s">
        <v>697</v>
      </c>
      <c r="C211" t="s">
        <v>25</v>
      </c>
      <c r="D211">
        <v>0</v>
      </c>
      <c r="E211" t="s">
        <v>672</v>
      </c>
      <c r="F211" t="s">
        <v>27</v>
      </c>
      <c r="G211" s="1">
        <v>46077</v>
      </c>
      <c r="H211" s="1">
        <v>46110</v>
      </c>
      <c r="I211">
        <v>0</v>
      </c>
      <c r="J211">
        <v>219200</v>
      </c>
      <c r="K211">
        <v>0</v>
      </c>
      <c r="L211">
        <v>0</v>
      </c>
      <c r="M211">
        <v>1</v>
      </c>
      <c r="N211">
        <v>1</v>
      </c>
      <c r="O211">
        <f t="shared" si="3"/>
        <v>219200</v>
      </c>
      <c r="P211" t="s">
        <v>28</v>
      </c>
      <c r="Q211" t="s">
        <v>673</v>
      </c>
      <c r="R211" t="s">
        <v>674</v>
      </c>
      <c r="S211" t="s">
        <v>32</v>
      </c>
      <c r="T211" t="s">
        <v>32</v>
      </c>
      <c r="U211" t="s">
        <v>675</v>
      </c>
      <c r="V211" t="s">
        <v>32</v>
      </c>
      <c r="W211">
        <v>0</v>
      </c>
      <c r="X211" s="1">
        <v>46077.725756632164</v>
      </c>
    </row>
    <row r="212" spans="1:24" x14ac:dyDescent="0.2">
      <c r="A212" t="s">
        <v>698</v>
      </c>
      <c r="B212" t="s">
        <v>699</v>
      </c>
      <c r="C212" t="s">
        <v>25</v>
      </c>
      <c r="D212">
        <v>0</v>
      </c>
      <c r="E212" t="s">
        <v>672</v>
      </c>
      <c r="F212" t="s">
        <v>27</v>
      </c>
      <c r="G212" s="1">
        <v>46077</v>
      </c>
      <c r="H212" s="1">
        <v>46110</v>
      </c>
      <c r="I212">
        <v>0</v>
      </c>
      <c r="J212">
        <v>172500</v>
      </c>
      <c r="K212">
        <v>0</v>
      </c>
      <c r="L212">
        <v>0</v>
      </c>
      <c r="M212">
        <v>1</v>
      </c>
      <c r="N212">
        <v>1</v>
      </c>
      <c r="O212">
        <f t="shared" si="3"/>
        <v>172500</v>
      </c>
      <c r="P212" t="s">
        <v>28</v>
      </c>
      <c r="Q212" t="s">
        <v>673</v>
      </c>
      <c r="R212" t="s">
        <v>674</v>
      </c>
      <c r="S212" t="s">
        <v>32</v>
      </c>
      <c r="T212" t="s">
        <v>32</v>
      </c>
      <c r="U212" t="s">
        <v>675</v>
      </c>
      <c r="V212" t="s">
        <v>32</v>
      </c>
      <c r="W212">
        <v>0</v>
      </c>
      <c r="X212" s="1">
        <v>46077.727979652584</v>
      </c>
    </row>
    <row r="213" spans="1:24" x14ac:dyDescent="0.2">
      <c r="A213" t="s">
        <v>700</v>
      </c>
      <c r="B213" t="s">
        <v>701</v>
      </c>
      <c r="C213" t="s">
        <v>25</v>
      </c>
      <c r="D213">
        <v>0</v>
      </c>
      <c r="E213" t="s">
        <v>672</v>
      </c>
      <c r="F213" t="s">
        <v>27</v>
      </c>
      <c r="G213" s="1">
        <v>46077</v>
      </c>
      <c r="H213" s="1">
        <v>46110</v>
      </c>
      <c r="I213">
        <v>0</v>
      </c>
      <c r="J213">
        <v>95200</v>
      </c>
      <c r="K213">
        <v>0</v>
      </c>
      <c r="L213">
        <v>0</v>
      </c>
      <c r="M213">
        <v>1</v>
      </c>
      <c r="N213">
        <v>1</v>
      </c>
      <c r="O213">
        <f t="shared" si="3"/>
        <v>95200</v>
      </c>
      <c r="P213" t="s">
        <v>28</v>
      </c>
      <c r="Q213" t="s">
        <v>673</v>
      </c>
      <c r="R213" t="s">
        <v>674</v>
      </c>
      <c r="S213" t="s">
        <v>32</v>
      </c>
      <c r="T213" t="s">
        <v>32</v>
      </c>
      <c r="U213" t="s">
        <v>675</v>
      </c>
      <c r="V213" t="s">
        <v>32</v>
      </c>
      <c r="W213">
        <v>0</v>
      </c>
      <c r="X213" s="1">
        <v>46081.555083796382</v>
      </c>
    </row>
    <row r="214" spans="1:24" x14ac:dyDescent="0.2">
      <c r="A214" t="s">
        <v>702</v>
      </c>
      <c r="B214" t="s">
        <v>703</v>
      </c>
      <c r="C214" t="s">
        <v>25</v>
      </c>
      <c r="D214">
        <v>0</v>
      </c>
      <c r="E214" t="s">
        <v>672</v>
      </c>
      <c r="F214" t="s">
        <v>27</v>
      </c>
      <c r="G214" s="1">
        <v>46081</v>
      </c>
      <c r="H214" s="1">
        <v>46114</v>
      </c>
      <c r="I214">
        <v>0</v>
      </c>
      <c r="J214">
        <v>1070038</v>
      </c>
      <c r="K214">
        <v>0</v>
      </c>
      <c r="L214">
        <v>0</v>
      </c>
      <c r="M214">
        <v>1</v>
      </c>
      <c r="N214">
        <v>1</v>
      </c>
      <c r="O214">
        <f t="shared" si="3"/>
        <v>1070038</v>
      </c>
      <c r="P214" t="s">
        <v>28</v>
      </c>
      <c r="Q214" t="s">
        <v>673</v>
      </c>
      <c r="R214" t="s">
        <v>674</v>
      </c>
      <c r="S214" t="s">
        <v>32</v>
      </c>
      <c r="T214" t="s">
        <v>32</v>
      </c>
      <c r="U214" t="s">
        <v>675</v>
      </c>
      <c r="V214" t="s">
        <v>32</v>
      </c>
      <c r="W214">
        <v>0</v>
      </c>
      <c r="X214" s="1">
        <v>46081.553780509159</v>
      </c>
    </row>
    <row r="215" spans="1:24" x14ac:dyDescent="0.2">
      <c r="A215" t="s">
        <v>704</v>
      </c>
      <c r="B215" t="s">
        <v>705</v>
      </c>
      <c r="C215" t="s">
        <v>25</v>
      </c>
      <c r="D215">
        <v>0</v>
      </c>
      <c r="E215" t="s">
        <v>672</v>
      </c>
      <c r="F215" t="s">
        <v>27</v>
      </c>
      <c r="G215" s="1">
        <v>46081</v>
      </c>
      <c r="H215" s="1">
        <v>46114</v>
      </c>
      <c r="I215">
        <v>0</v>
      </c>
      <c r="J215">
        <v>310500</v>
      </c>
      <c r="K215">
        <v>0</v>
      </c>
      <c r="L215">
        <v>0</v>
      </c>
      <c r="M215">
        <v>1</v>
      </c>
      <c r="N215">
        <v>1</v>
      </c>
      <c r="O215">
        <f t="shared" si="3"/>
        <v>310500</v>
      </c>
      <c r="P215" t="s">
        <v>28</v>
      </c>
      <c r="Q215" t="s">
        <v>673</v>
      </c>
      <c r="R215" t="s">
        <v>674</v>
      </c>
      <c r="S215" t="s">
        <v>32</v>
      </c>
      <c r="T215" t="s">
        <v>32</v>
      </c>
      <c r="U215" t="s">
        <v>675</v>
      </c>
      <c r="V215" t="s">
        <v>32</v>
      </c>
      <c r="W215">
        <v>0</v>
      </c>
      <c r="X215" s="1">
        <v>46081.553293669131</v>
      </c>
    </row>
    <row r="216" spans="1:24" x14ac:dyDescent="0.2">
      <c r="A216" t="s">
        <v>706</v>
      </c>
      <c r="B216" t="s">
        <v>707</v>
      </c>
      <c r="C216" t="s">
        <v>25</v>
      </c>
      <c r="D216">
        <v>0</v>
      </c>
      <c r="E216" t="s">
        <v>672</v>
      </c>
      <c r="F216" t="s">
        <v>27</v>
      </c>
      <c r="G216" s="1">
        <v>46083</v>
      </c>
      <c r="H216" s="1">
        <v>46116</v>
      </c>
      <c r="I216">
        <v>15004255</v>
      </c>
      <c r="J216">
        <v>0</v>
      </c>
      <c r="K216">
        <v>0</v>
      </c>
      <c r="L216">
        <v>0</v>
      </c>
      <c r="M216">
        <v>1</v>
      </c>
      <c r="N216">
        <v>0</v>
      </c>
      <c r="O216">
        <f t="shared" si="3"/>
        <v>15004255</v>
      </c>
      <c r="P216" t="s">
        <v>28</v>
      </c>
      <c r="Q216" t="s">
        <v>673</v>
      </c>
      <c r="R216" t="s">
        <v>674</v>
      </c>
      <c r="S216" t="s">
        <v>32</v>
      </c>
      <c r="T216" t="s">
        <v>32</v>
      </c>
      <c r="U216" t="s">
        <v>675</v>
      </c>
      <c r="V216" t="s">
        <v>32</v>
      </c>
      <c r="W216">
        <v>0</v>
      </c>
      <c r="X216" s="1">
        <v>46092.716596296523</v>
      </c>
    </row>
    <row r="217" spans="1:24" x14ac:dyDescent="0.2">
      <c r="A217" t="s">
        <v>708</v>
      </c>
      <c r="B217" t="s">
        <v>709</v>
      </c>
      <c r="C217" t="s">
        <v>25</v>
      </c>
      <c r="D217">
        <v>0</v>
      </c>
      <c r="E217" t="s">
        <v>672</v>
      </c>
      <c r="F217" t="s">
        <v>27</v>
      </c>
      <c r="G217" s="1">
        <v>46083</v>
      </c>
      <c r="H217" s="1">
        <v>46116</v>
      </c>
      <c r="I217">
        <v>5796000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f t="shared" si="3"/>
        <v>5796000</v>
      </c>
      <c r="P217" t="s">
        <v>28</v>
      </c>
      <c r="Q217" t="s">
        <v>673</v>
      </c>
      <c r="R217" t="s">
        <v>674</v>
      </c>
      <c r="S217" t="s">
        <v>32</v>
      </c>
      <c r="T217" t="s">
        <v>32</v>
      </c>
      <c r="U217" t="s">
        <v>675</v>
      </c>
      <c r="V217" t="s">
        <v>32</v>
      </c>
      <c r="W217">
        <v>0</v>
      </c>
      <c r="X217" s="1">
        <v>46093.448849074077</v>
      </c>
    </row>
    <row r="218" spans="1:24" x14ac:dyDescent="0.2">
      <c r="A218" t="s">
        <v>710</v>
      </c>
      <c r="B218" t="s">
        <v>711</v>
      </c>
      <c r="C218" t="s">
        <v>25</v>
      </c>
      <c r="D218">
        <v>0</v>
      </c>
      <c r="E218" t="s">
        <v>672</v>
      </c>
      <c r="F218" t="s">
        <v>27</v>
      </c>
      <c r="G218" s="1">
        <v>46085</v>
      </c>
      <c r="H218" s="1">
        <v>46118</v>
      </c>
      <c r="I218">
        <v>172280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f t="shared" si="3"/>
        <v>172280</v>
      </c>
      <c r="P218" t="s">
        <v>28</v>
      </c>
      <c r="Q218" t="s">
        <v>673</v>
      </c>
      <c r="R218" t="s">
        <v>674</v>
      </c>
      <c r="S218" t="s">
        <v>32</v>
      </c>
      <c r="T218" t="s">
        <v>32</v>
      </c>
      <c r="U218" t="s">
        <v>675</v>
      </c>
      <c r="V218" t="s">
        <v>32</v>
      </c>
      <c r="W218">
        <v>0</v>
      </c>
      <c r="X218" s="1">
        <v>46093.595698761754</v>
      </c>
    </row>
    <row r="219" spans="1:24" x14ac:dyDescent="0.2">
      <c r="A219" t="s">
        <v>712</v>
      </c>
      <c r="B219" t="s">
        <v>713</v>
      </c>
      <c r="C219" t="s">
        <v>25</v>
      </c>
      <c r="D219">
        <v>0</v>
      </c>
      <c r="E219" t="s">
        <v>672</v>
      </c>
      <c r="F219" t="s">
        <v>27</v>
      </c>
      <c r="G219" s="1">
        <v>46085</v>
      </c>
      <c r="H219" s="1">
        <v>46118</v>
      </c>
      <c r="I219">
        <v>644000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f t="shared" si="3"/>
        <v>644000</v>
      </c>
      <c r="P219" t="s">
        <v>28</v>
      </c>
      <c r="Q219" t="s">
        <v>673</v>
      </c>
      <c r="R219" t="s">
        <v>674</v>
      </c>
      <c r="S219" t="s">
        <v>32</v>
      </c>
      <c r="T219" t="s">
        <v>32</v>
      </c>
      <c r="U219" t="s">
        <v>675</v>
      </c>
      <c r="V219" t="s">
        <v>32</v>
      </c>
      <c r="W219">
        <v>0</v>
      </c>
      <c r="X219" s="1">
        <v>46093.598029502202</v>
      </c>
    </row>
    <row r="220" spans="1:24" x14ac:dyDescent="0.2">
      <c r="A220" t="s">
        <v>714</v>
      </c>
      <c r="B220" t="s">
        <v>715</v>
      </c>
      <c r="C220" t="s">
        <v>25</v>
      </c>
      <c r="D220">
        <v>0</v>
      </c>
      <c r="E220" t="s">
        <v>672</v>
      </c>
      <c r="F220" t="s">
        <v>27</v>
      </c>
      <c r="G220" s="1">
        <v>46085</v>
      </c>
      <c r="H220" s="1">
        <v>46118</v>
      </c>
      <c r="I220">
        <v>720247</v>
      </c>
      <c r="J220">
        <v>0</v>
      </c>
      <c r="K220">
        <v>0</v>
      </c>
      <c r="L220">
        <v>0</v>
      </c>
      <c r="M220">
        <v>1</v>
      </c>
      <c r="N220">
        <v>0</v>
      </c>
      <c r="O220">
        <f t="shared" si="3"/>
        <v>720247</v>
      </c>
      <c r="P220" t="s">
        <v>28</v>
      </c>
      <c r="Q220" t="s">
        <v>673</v>
      </c>
      <c r="R220" t="s">
        <v>674</v>
      </c>
      <c r="S220" t="s">
        <v>32</v>
      </c>
      <c r="T220" t="s">
        <v>32</v>
      </c>
      <c r="U220" t="s">
        <v>675</v>
      </c>
      <c r="V220" t="s">
        <v>32</v>
      </c>
      <c r="W220">
        <v>0</v>
      </c>
      <c r="X220" s="1">
        <v>46093.600592384115</v>
      </c>
    </row>
    <row r="221" spans="1:24" x14ac:dyDescent="0.2">
      <c r="A221" t="s">
        <v>716</v>
      </c>
      <c r="B221" t="s">
        <v>717</v>
      </c>
      <c r="C221" t="s">
        <v>25</v>
      </c>
      <c r="D221">
        <v>0</v>
      </c>
      <c r="E221" t="s">
        <v>672</v>
      </c>
      <c r="F221" t="s">
        <v>27</v>
      </c>
      <c r="G221" s="1">
        <v>46085</v>
      </c>
      <c r="H221" s="1">
        <v>46118</v>
      </c>
      <c r="I221">
        <v>414966</v>
      </c>
      <c r="J221">
        <v>0</v>
      </c>
      <c r="K221">
        <v>0</v>
      </c>
      <c r="L221">
        <v>0</v>
      </c>
      <c r="M221">
        <v>1</v>
      </c>
      <c r="N221">
        <v>0</v>
      </c>
      <c r="O221">
        <f t="shared" si="3"/>
        <v>414966</v>
      </c>
      <c r="P221" t="s">
        <v>28</v>
      </c>
      <c r="Q221" t="s">
        <v>673</v>
      </c>
      <c r="R221" t="s">
        <v>674</v>
      </c>
      <c r="S221" t="s">
        <v>32</v>
      </c>
      <c r="T221" t="s">
        <v>32</v>
      </c>
      <c r="U221" t="s">
        <v>675</v>
      </c>
      <c r="V221" t="s">
        <v>32</v>
      </c>
      <c r="W221">
        <v>0</v>
      </c>
      <c r="X221" s="1">
        <v>46093.67697892338</v>
      </c>
    </row>
    <row r="222" spans="1:24" x14ac:dyDescent="0.2">
      <c r="A222" t="s">
        <v>718</v>
      </c>
      <c r="B222" t="s">
        <v>719</v>
      </c>
      <c r="C222" t="s">
        <v>25</v>
      </c>
      <c r="D222">
        <v>0</v>
      </c>
      <c r="E222" t="s">
        <v>672</v>
      </c>
      <c r="F222" t="s">
        <v>27</v>
      </c>
      <c r="G222" s="1">
        <v>46087</v>
      </c>
      <c r="H222" s="1">
        <v>46120</v>
      </c>
      <c r="I222">
        <v>1175157</v>
      </c>
      <c r="J222">
        <v>0</v>
      </c>
      <c r="K222">
        <v>0</v>
      </c>
      <c r="L222">
        <v>0</v>
      </c>
      <c r="M222">
        <v>1</v>
      </c>
      <c r="N222">
        <v>0</v>
      </c>
      <c r="O222">
        <f t="shared" si="3"/>
        <v>1175157</v>
      </c>
      <c r="P222" t="s">
        <v>28</v>
      </c>
      <c r="Q222" t="s">
        <v>673</v>
      </c>
      <c r="R222" t="s">
        <v>674</v>
      </c>
      <c r="S222" t="s">
        <v>32</v>
      </c>
      <c r="T222" t="s">
        <v>32</v>
      </c>
      <c r="U222" t="s">
        <v>675</v>
      </c>
      <c r="V222" t="s">
        <v>32</v>
      </c>
      <c r="W222">
        <v>0</v>
      </c>
      <c r="X222" s="1">
        <v>46093.684158715419</v>
      </c>
    </row>
    <row r="223" spans="1:24" x14ac:dyDescent="0.2">
      <c r="A223" t="s">
        <v>720</v>
      </c>
      <c r="B223" t="s">
        <v>721</v>
      </c>
      <c r="C223" t="s">
        <v>25</v>
      </c>
      <c r="D223">
        <v>0</v>
      </c>
      <c r="E223" t="s">
        <v>672</v>
      </c>
      <c r="F223" t="s">
        <v>27</v>
      </c>
      <c r="G223" s="1">
        <v>46087</v>
      </c>
      <c r="H223" s="1">
        <v>46120</v>
      </c>
      <c r="I223">
        <v>529000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f t="shared" si="3"/>
        <v>529000</v>
      </c>
      <c r="P223" t="s">
        <v>28</v>
      </c>
      <c r="Q223" t="s">
        <v>673</v>
      </c>
      <c r="R223" t="s">
        <v>674</v>
      </c>
      <c r="S223" t="s">
        <v>32</v>
      </c>
      <c r="T223" t="s">
        <v>32</v>
      </c>
      <c r="U223" t="s">
        <v>675</v>
      </c>
      <c r="V223" t="s">
        <v>32</v>
      </c>
      <c r="W223">
        <v>0</v>
      </c>
      <c r="X223" s="1">
        <v>46093.686185034923</v>
      </c>
    </row>
    <row r="224" spans="1:24" x14ac:dyDescent="0.2">
      <c r="A224" t="s">
        <v>722</v>
      </c>
      <c r="B224" t="s">
        <v>723</v>
      </c>
      <c r="C224" t="s">
        <v>25</v>
      </c>
      <c r="D224">
        <v>0</v>
      </c>
      <c r="E224" t="s">
        <v>672</v>
      </c>
      <c r="F224" t="s">
        <v>27</v>
      </c>
      <c r="G224" s="1">
        <v>46087</v>
      </c>
      <c r="H224" s="1">
        <v>46120</v>
      </c>
      <c r="I224">
        <v>332000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f t="shared" si="3"/>
        <v>332000</v>
      </c>
      <c r="P224" t="s">
        <v>28</v>
      </c>
      <c r="Q224" t="s">
        <v>673</v>
      </c>
      <c r="R224" t="s">
        <v>674</v>
      </c>
      <c r="S224" t="s">
        <v>32</v>
      </c>
      <c r="T224" t="s">
        <v>32</v>
      </c>
      <c r="U224" t="s">
        <v>675</v>
      </c>
      <c r="V224" t="s">
        <v>32</v>
      </c>
      <c r="W224">
        <v>0</v>
      </c>
      <c r="X224" s="1">
        <v>46093.68887263909</v>
      </c>
    </row>
    <row r="225" spans="1:24" x14ac:dyDescent="0.2">
      <c r="A225" t="s">
        <v>724</v>
      </c>
      <c r="B225" t="s">
        <v>725</v>
      </c>
      <c r="C225" t="s">
        <v>25</v>
      </c>
      <c r="D225">
        <v>0</v>
      </c>
      <c r="E225" t="s">
        <v>672</v>
      </c>
      <c r="F225" t="s">
        <v>27</v>
      </c>
      <c r="G225" s="1">
        <v>46087</v>
      </c>
      <c r="H225" s="1">
        <v>46120</v>
      </c>
      <c r="I225">
        <v>241500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f t="shared" si="3"/>
        <v>241500</v>
      </c>
      <c r="P225" t="s">
        <v>28</v>
      </c>
      <c r="Q225" t="s">
        <v>673</v>
      </c>
      <c r="R225" t="s">
        <v>674</v>
      </c>
      <c r="S225" t="s">
        <v>32</v>
      </c>
      <c r="T225" t="s">
        <v>32</v>
      </c>
      <c r="U225" t="s">
        <v>675</v>
      </c>
      <c r="V225" t="s">
        <v>32</v>
      </c>
      <c r="W225">
        <v>0</v>
      </c>
      <c r="X225" s="1">
        <v>46093.691020949278</v>
      </c>
    </row>
    <row r="226" spans="1:24" x14ac:dyDescent="0.2">
      <c r="A226" t="s">
        <v>726</v>
      </c>
      <c r="B226" t="s">
        <v>727</v>
      </c>
      <c r="C226" t="s">
        <v>25</v>
      </c>
      <c r="D226">
        <v>0</v>
      </c>
      <c r="E226" t="s">
        <v>672</v>
      </c>
      <c r="F226" t="s">
        <v>27</v>
      </c>
      <c r="G226" s="1">
        <v>46087</v>
      </c>
      <c r="H226" s="1">
        <v>46120</v>
      </c>
      <c r="I226">
        <v>35000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f t="shared" si="3"/>
        <v>35000</v>
      </c>
      <c r="P226" t="s">
        <v>28</v>
      </c>
      <c r="Q226" t="s">
        <v>673</v>
      </c>
      <c r="R226" t="s">
        <v>674</v>
      </c>
      <c r="S226" t="s">
        <v>32</v>
      </c>
      <c r="T226" t="s">
        <v>32</v>
      </c>
      <c r="U226" t="s">
        <v>675</v>
      </c>
      <c r="V226" t="s">
        <v>32</v>
      </c>
      <c r="W226">
        <v>0</v>
      </c>
      <c r="X226" s="1">
        <v>46093.707046446856</v>
      </c>
    </row>
    <row r="227" spans="1:24" x14ac:dyDescent="0.2">
      <c r="A227" t="s">
        <v>728</v>
      </c>
      <c r="B227" t="s">
        <v>729</v>
      </c>
      <c r="C227" t="s">
        <v>25</v>
      </c>
      <c r="D227">
        <v>0</v>
      </c>
      <c r="E227" t="s">
        <v>672</v>
      </c>
      <c r="F227" t="s">
        <v>27</v>
      </c>
      <c r="G227" s="1">
        <v>46092</v>
      </c>
      <c r="H227" s="1">
        <v>46125</v>
      </c>
      <c r="I227">
        <v>405000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f t="shared" si="3"/>
        <v>405000</v>
      </c>
      <c r="P227" t="s">
        <v>28</v>
      </c>
      <c r="Q227" t="s">
        <v>673</v>
      </c>
      <c r="R227" t="s">
        <v>674</v>
      </c>
      <c r="S227" t="s">
        <v>32</v>
      </c>
      <c r="T227" t="s">
        <v>32</v>
      </c>
      <c r="U227" t="s">
        <v>675</v>
      </c>
      <c r="V227" t="s">
        <v>32</v>
      </c>
      <c r="W227">
        <v>0</v>
      </c>
      <c r="X227" s="1">
        <v>46098.720370370429</v>
      </c>
    </row>
    <row r="228" spans="1:24" x14ac:dyDescent="0.2">
      <c r="A228" t="s">
        <v>730</v>
      </c>
      <c r="B228" t="s">
        <v>731</v>
      </c>
      <c r="C228" t="s">
        <v>25</v>
      </c>
      <c r="D228">
        <v>0</v>
      </c>
      <c r="E228" t="s">
        <v>672</v>
      </c>
      <c r="F228" t="s">
        <v>27</v>
      </c>
      <c r="G228" s="1">
        <v>46093</v>
      </c>
      <c r="H228" s="1">
        <v>46126</v>
      </c>
      <c r="I228">
        <v>11907740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f t="shared" si="3"/>
        <v>11907740</v>
      </c>
      <c r="P228" t="s">
        <v>28</v>
      </c>
      <c r="Q228" t="s">
        <v>673</v>
      </c>
      <c r="R228" t="s">
        <v>674</v>
      </c>
      <c r="S228" t="s">
        <v>32</v>
      </c>
      <c r="T228" t="s">
        <v>32</v>
      </c>
      <c r="U228" t="s">
        <v>675</v>
      </c>
      <c r="V228" t="s">
        <v>32</v>
      </c>
      <c r="W228">
        <v>0</v>
      </c>
      <c r="X228" s="1">
        <v>46098.723460648209</v>
      </c>
    </row>
    <row r="229" spans="1:24" x14ac:dyDescent="0.2">
      <c r="A229" t="s">
        <v>732</v>
      </c>
      <c r="B229" t="s">
        <v>733</v>
      </c>
      <c r="C229" t="s">
        <v>25</v>
      </c>
      <c r="D229">
        <v>0</v>
      </c>
      <c r="E229" t="s">
        <v>672</v>
      </c>
      <c r="F229" t="s">
        <v>27</v>
      </c>
      <c r="G229" s="1">
        <v>46093</v>
      </c>
      <c r="H229" s="1">
        <v>46126</v>
      </c>
      <c r="I229">
        <v>5543000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f t="shared" si="3"/>
        <v>5543000</v>
      </c>
      <c r="P229" t="s">
        <v>28</v>
      </c>
      <c r="Q229" t="s">
        <v>673</v>
      </c>
      <c r="R229" t="s">
        <v>674</v>
      </c>
      <c r="S229" t="s">
        <v>32</v>
      </c>
      <c r="T229" t="s">
        <v>32</v>
      </c>
      <c r="U229" t="s">
        <v>675</v>
      </c>
      <c r="V229" t="s">
        <v>32</v>
      </c>
      <c r="W229">
        <v>0</v>
      </c>
      <c r="X229" s="1">
        <v>46098.726608796511</v>
      </c>
    </row>
    <row r="230" spans="1:24" x14ac:dyDescent="0.2">
      <c r="A230" t="s">
        <v>734</v>
      </c>
      <c r="B230" t="s">
        <v>735</v>
      </c>
      <c r="C230" t="s">
        <v>25</v>
      </c>
      <c r="D230">
        <v>0</v>
      </c>
      <c r="E230" t="s">
        <v>672</v>
      </c>
      <c r="F230" t="s">
        <v>27</v>
      </c>
      <c r="G230" s="1">
        <v>46093</v>
      </c>
      <c r="H230" s="1">
        <v>46126</v>
      </c>
      <c r="I230">
        <v>70000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f t="shared" si="3"/>
        <v>70000</v>
      </c>
      <c r="P230" t="s">
        <v>28</v>
      </c>
      <c r="Q230" t="s">
        <v>673</v>
      </c>
      <c r="R230" t="s">
        <v>674</v>
      </c>
      <c r="S230" t="s">
        <v>32</v>
      </c>
      <c r="T230" t="s">
        <v>32</v>
      </c>
      <c r="U230" t="s">
        <v>675</v>
      </c>
      <c r="V230" t="s">
        <v>32</v>
      </c>
      <c r="W230">
        <v>0</v>
      </c>
      <c r="X230" s="1">
        <v>46099.707025451586</v>
      </c>
    </row>
    <row r="231" spans="1:24" x14ac:dyDescent="0.2">
      <c r="A231" t="s">
        <v>736</v>
      </c>
      <c r="B231" t="s">
        <v>737</v>
      </c>
      <c r="C231" t="s">
        <v>25</v>
      </c>
      <c r="D231">
        <v>0</v>
      </c>
      <c r="E231" t="s">
        <v>672</v>
      </c>
      <c r="F231" t="s">
        <v>27</v>
      </c>
      <c r="G231" s="1">
        <v>46093</v>
      </c>
      <c r="H231" s="1">
        <v>46126</v>
      </c>
      <c r="I231">
        <v>414500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f t="shared" si="3"/>
        <v>414500</v>
      </c>
      <c r="P231" t="s">
        <v>28</v>
      </c>
      <c r="Q231" t="s">
        <v>673</v>
      </c>
      <c r="R231" t="s">
        <v>674</v>
      </c>
      <c r="S231" t="s">
        <v>32</v>
      </c>
      <c r="T231" t="s">
        <v>32</v>
      </c>
      <c r="U231" t="s">
        <v>675</v>
      </c>
      <c r="V231" t="s">
        <v>32</v>
      </c>
      <c r="W231">
        <v>0</v>
      </c>
      <c r="X231" s="1">
        <v>46099.709189814981</v>
      </c>
    </row>
    <row r="232" spans="1:24" x14ac:dyDescent="0.2">
      <c r="A232" t="s">
        <v>738</v>
      </c>
      <c r="B232" t="s">
        <v>739</v>
      </c>
      <c r="C232" t="s">
        <v>25</v>
      </c>
      <c r="D232">
        <v>0</v>
      </c>
      <c r="E232" t="s">
        <v>740</v>
      </c>
      <c r="F232" t="s">
        <v>27</v>
      </c>
      <c r="G232" s="1">
        <v>45947</v>
      </c>
      <c r="H232" s="1">
        <v>45961</v>
      </c>
      <c r="I232">
        <v>0</v>
      </c>
      <c r="J232">
        <v>285000</v>
      </c>
      <c r="K232">
        <v>0</v>
      </c>
      <c r="L232">
        <v>0</v>
      </c>
      <c r="M232">
        <v>1</v>
      </c>
      <c r="N232">
        <v>1</v>
      </c>
      <c r="O232">
        <f t="shared" si="3"/>
        <v>285000</v>
      </c>
      <c r="P232" t="s">
        <v>28</v>
      </c>
      <c r="Q232" t="s">
        <v>741</v>
      </c>
      <c r="R232" t="s">
        <v>742</v>
      </c>
      <c r="S232" t="s">
        <v>32</v>
      </c>
      <c r="T232" t="s">
        <v>32</v>
      </c>
      <c r="U232" t="s">
        <v>743</v>
      </c>
      <c r="V232" t="s">
        <v>744</v>
      </c>
      <c r="W232">
        <v>0</v>
      </c>
      <c r="X232" s="1">
        <v>45961.719360567164</v>
      </c>
    </row>
    <row r="233" spans="1:24" x14ac:dyDescent="0.2">
      <c r="A233" t="s">
        <v>745</v>
      </c>
      <c r="B233" t="s">
        <v>746</v>
      </c>
      <c r="C233" t="s">
        <v>25</v>
      </c>
      <c r="D233">
        <v>0</v>
      </c>
      <c r="E233" t="s">
        <v>747</v>
      </c>
      <c r="F233" t="s">
        <v>27</v>
      </c>
      <c r="G233" s="1">
        <v>46081</v>
      </c>
      <c r="H233" s="1">
        <v>46096</v>
      </c>
      <c r="I233">
        <v>0</v>
      </c>
      <c r="J233">
        <v>3543950</v>
      </c>
      <c r="K233">
        <v>0</v>
      </c>
      <c r="L233">
        <v>0</v>
      </c>
      <c r="M233">
        <v>1</v>
      </c>
      <c r="N233">
        <v>1</v>
      </c>
      <c r="O233">
        <f t="shared" si="3"/>
        <v>3543950</v>
      </c>
      <c r="P233" t="s">
        <v>28</v>
      </c>
      <c r="Q233" t="s">
        <v>748</v>
      </c>
      <c r="R233" t="s">
        <v>749</v>
      </c>
      <c r="S233" t="s">
        <v>32</v>
      </c>
      <c r="T233" t="s">
        <v>32</v>
      </c>
      <c r="U233" t="s">
        <v>750</v>
      </c>
      <c r="V233" t="s">
        <v>751</v>
      </c>
      <c r="W233">
        <v>15</v>
      </c>
      <c r="X233" s="1">
        <v>46081.537120173685</v>
      </c>
    </row>
    <row r="234" spans="1:24" x14ac:dyDescent="0.2">
      <c r="A234" t="s">
        <v>752</v>
      </c>
      <c r="B234" t="s">
        <v>753</v>
      </c>
      <c r="C234" t="s">
        <v>25</v>
      </c>
      <c r="D234">
        <v>0</v>
      </c>
      <c r="E234" t="s">
        <v>754</v>
      </c>
      <c r="F234" t="s">
        <v>27</v>
      </c>
      <c r="G234" s="1">
        <v>45044</v>
      </c>
      <c r="H234" s="1">
        <v>45044</v>
      </c>
      <c r="I234">
        <v>0</v>
      </c>
      <c r="J234">
        <v>2070000</v>
      </c>
      <c r="K234">
        <v>0</v>
      </c>
      <c r="L234">
        <v>0</v>
      </c>
      <c r="M234">
        <v>1</v>
      </c>
      <c r="N234">
        <v>1</v>
      </c>
      <c r="O234">
        <f t="shared" si="3"/>
        <v>2070000</v>
      </c>
      <c r="P234" t="s">
        <v>28</v>
      </c>
      <c r="Q234" t="s">
        <v>755</v>
      </c>
      <c r="R234" t="s">
        <v>756</v>
      </c>
      <c r="S234" t="s">
        <v>32</v>
      </c>
      <c r="T234" t="s">
        <v>32</v>
      </c>
      <c r="U234" t="s">
        <v>757</v>
      </c>
      <c r="V234" t="s">
        <v>32</v>
      </c>
      <c r="W234">
        <v>0</v>
      </c>
      <c r="X234" s="1">
        <v>45044.641686655115</v>
      </c>
    </row>
    <row r="235" spans="1:24" x14ac:dyDescent="0.2">
      <c r="A235" t="s">
        <v>758</v>
      </c>
      <c r="B235" t="s">
        <v>759</v>
      </c>
      <c r="C235" t="s">
        <v>25</v>
      </c>
      <c r="D235">
        <v>0</v>
      </c>
      <c r="E235" t="s">
        <v>760</v>
      </c>
      <c r="F235" t="s">
        <v>27</v>
      </c>
      <c r="G235" s="1">
        <v>46064</v>
      </c>
      <c r="H235" s="1">
        <v>46099</v>
      </c>
      <c r="I235">
        <v>0</v>
      </c>
      <c r="J235">
        <v>41815802</v>
      </c>
      <c r="K235">
        <v>0</v>
      </c>
      <c r="L235">
        <v>0</v>
      </c>
      <c r="M235">
        <v>0</v>
      </c>
      <c r="N235">
        <v>1</v>
      </c>
      <c r="O235">
        <f t="shared" si="3"/>
        <v>41815802</v>
      </c>
      <c r="P235" t="s">
        <v>28</v>
      </c>
      <c r="Q235" t="s">
        <v>761</v>
      </c>
      <c r="R235" t="s">
        <v>762</v>
      </c>
      <c r="S235" t="s">
        <v>178</v>
      </c>
      <c r="T235" t="s">
        <v>763</v>
      </c>
      <c r="U235" t="s">
        <v>764</v>
      </c>
      <c r="V235" t="s">
        <v>765</v>
      </c>
      <c r="W235">
        <v>30</v>
      </c>
      <c r="X235" s="1">
        <v>46064.656866620295</v>
      </c>
    </row>
    <row r="236" spans="1:24" x14ac:dyDescent="0.2">
      <c r="A236" t="s">
        <v>766</v>
      </c>
      <c r="B236" t="s">
        <v>767</v>
      </c>
      <c r="C236" t="s">
        <v>25</v>
      </c>
      <c r="D236">
        <v>0</v>
      </c>
      <c r="E236" t="s">
        <v>768</v>
      </c>
      <c r="F236" t="s">
        <v>27</v>
      </c>
      <c r="G236" s="1">
        <v>46095</v>
      </c>
      <c r="H236" s="1">
        <v>46125</v>
      </c>
      <c r="I236">
        <v>5766750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f t="shared" si="3"/>
        <v>5766750</v>
      </c>
      <c r="P236" t="s">
        <v>28</v>
      </c>
      <c r="Q236" t="s">
        <v>769</v>
      </c>
      <c r="R236" t="s">
        <v>770</v>
      </c>
      <c r="S236" t="s">
        <v>113</v>
      </c>
      <c r="T236" t="s">
        <v>771</v>
      </c>
      <c r="U236" t="s">
        <v>772</v>
      </c>
      <c r="V236" t="s">
        <v>773</v>
      </c>
      <c r="W236">
        <v>30</v>
      </c>
      <c r="X236" s="1">
        <v>46095.389490740839</v>
      </c>
    </row>
    <row r="237" spans="1:24" x14ac:dyDescent="0.2">
      <c r="A237" t="s">
        <v>774</v>
      </c>
      <c r="B237" t="s">
        <v>775</v>
      </c>
      <c r="C237" t="s">
        <v>25</v>
      </c>
      <c r="D237">
        <v>0</v>
      </c>
      <c r="E237" t="s">
        <v>776</v>
      </c>
      <c r="F237" t="s">
        <v>27</v>
      </c>
      <c r="G237" s="1">
        <v>46098</v>
      </c>
      <c r="H237" s="1">
        <v>46098</v>
      </c>
      <c r="I237">
        <v>3</v>
      </c>
      <c r="J237">
        <v>0</v>
      </c>
      <c r="K237">
        <v>0</v>
      </c>
      <c r="L237">
        <v>0</v>
      </c>
      <c r="M237">
        <v>1</v>
      </c>
      <c r="N237">
        <v>0</v>
      </c>
      <c r="O237">
        <f t="shared" si="3"/>
        <v>3</v>
      </c>
      <c r="P237" t="s">
        <v>28</v>
      </c>
      <c r="Q237" t="s">
        <v>777</v>
      </c>
      <c r="R237" t="s">
        <v>778</v>
      </c>
      <c r="S237" t="s">
        <v>31</v>
      </c>
      <c r="T237" t="s">
        <v>32</v>
      </c>
      <c r="U237" t="s">
        <v>779</v>
      </c>
      <c r="V237" t="s">
        <v>32</v>
      </c>
      <c r="W237">
        <v>0</v>
      </c>
      <c r="X237" s="1">
        <v>46101.46050802106</v>
      </c>
    </row>
    <row r="238" spans="1:24" x14ac:dyDescent="0.2">
      <c r="A238" t="s">
        <v>780</v>
      </c>
      <c r="B238" t="s">
        <v>781</v>
      </c>
      <c r="C238" t="s">
        <v>25</v>
      </c>
      <c r="D238">
        <v>0</v>
      </c>
      <c r="E238" t="s">
        <v>782</v>
      </c>
      <c r="F238" t="s">
        <v>27</v>
      </c>
      <c r="G238" s="1">
        <v>46069</v>
      </c>
      <c r="H238" s="1">
        <v>46097</v>
      </c>
      <c r="I238">
        <v>0</v>
      </c>
      <c r="J238">
        <v>14801304</v>
      </c>
      <c r="K238">
        <v>0</v>
      </c>
      <c r="L238">
        <v>0</v>
      </c>
      <c r="M238">
        <v>0</v>
      </c>
      <c r="N238">
        <v>1</v>
      </c>
      <c r="O238">
        <f t="shared" si="3"/>
        <v>14801304</v>
      </c>
      <c r="P238" t="s">
        <v>28</v>
      </c>
      <c r="Q238" t="s">
        <v>783</v>
      </c>
      <c r="R238" t="s">
        <v>784</v>
      </c>
      <c r="S238" t="s">
        <v>32</v>
      </c>
      <c r="T238" t="s">
        <v>32</v>
      </c>
      <c r="U238" t="s">
        <v>785</v>
      </c>
      <c r="V238" t="s">
        <v>786</v>
      </c>
      <c r="W238">
        <v>30</v>
      </c>
      <c r="X238" s="1">
        <v>46070.347175949253</v>
      </c>
    </row>
    <row r="239" spans="1:24" x14ac:dyDescent="0.2">
      <c r="A239" t="s">
        <v>787</v>
      </c>
      <c r="B239" t="s">
        <v>788</v>
      </c>
      <c r="C239" t="s">
        <v>25</v>
      </c>
      <c r="D239">
        <v>0</v>
      </c>
      <c r="E239" t="s">
        <v>782</v>
      </c>
      <c r="F239" t="s">
        <v>27</v>
      </c>
      <c r="G239" s="1">
        <v>46069</v>
      </c>
      <c r="H239" s="1">
        <v>46097</v>
      </c>
      <c r="I239">
        <v>0</v>
      </c>
      <c r="J239">
        <v>12301054</v>
      </c>
      <c r="K239">
        <v>0</v>
      </c>
      <c r="L239">
        <v>0</v>
      </c>
      <c r="M239">
        <v>0</v>
      </c>
      <c r="N239">
        <v>1</v>
      </c>
      <c r="O239">
        <f t="shared" si="3"/>
        <v>12301054</v>
      </c>
      <c r="P239" t="s">
        <v>28</v>
      </c>
      <c r="Q239" t="s">
        <v>783</v>
      </c>
      <c r="R239" t="s">
        <v>784</v>
      </c>
      <c r="S239" t="s">
        <v>32</v>
      </c>
      <c r="T239" t="s">
        <v>32</v>
      </c>
      <c r="U239" t="s">
        <v>785</v>
      </c>
      <c r="V239" t="s">
        <v>786</v>
      </c>
      <c r="W239">
        <v>30</v>
      </c>
      <c r="X239" s="1">
        <v>46070.349295173772</v>
      </c>
    </row>
    <row r="240" spans="1:24" x14ac:dyDescent="0.2">
      <c r="A240" t="s">
        <v>789</v>
      </c>
      <c r="B240" t="s">
        <v>790</v>
      </c>
      <c r="C240" t="s">
        <v>25</v>
      </c>
      <c r="D240">
        <v>0</v>
      </c>
      <c r="E240" t="s">
        <v>791</v>
      </c>
      <c r="F240" t="s">
        <v>27</v>
      </c>
      <c r="G240" s="1">
        <v>46080</v>
      </c>
      <c r="H240" s="1">
        <v>46110</v>
      </c>
      <c r="I240">
        <v>0</v>
      </c>
      <c r="J240">
        <v>3114052</v>
      </c>
      <c r="K240">
        <v>0</v>
      </c>
      <c r="L240">
        <v>0</v>
      </c>
      <c r="M240">
        <v>0</v>
      </c>
      <c r="N240">
        <v>1</v>
      </c>
      <c r="O240">
        <f t="shared" si="3"/>
        <v>3114052</v>
      </c>
      <c r="P240" t="s">
        <v>28</v>
      </c>
      <c r="Q240" t="s">
        <v>792</v>
      </c>
      <c r="R240" t="s">
        <v>793</v>
      </c>
      <c r="S240" t="s">
        <v>32</v>
      </c>
      <c r="T240" t="s">
        <v>32</v>
      </c>
      <c r="U240" t="s">
        <v>794</v>
      </c>
      <c r="V240" t="s">
        <v>795</v>
      </c>
      <c r="W240">
        <v>8</v>
      </c>
      <c r="X240" s="1">
        <v>46080.708564467728</v>
      </c>
    </row>
    <row r="241" spans="1:24" x14ac:dyDescent="0.2">
      <c r="A241" t="s">
        <v>796</v>
      </c>
      <c r="B241" t="s">
        <v>797</v>
      </c>
      <c r="C241" t="s">
        <v>25</v>
      </c>
      <c r="D241">
        <v>0</v>
      </c>
      <c r="E241" t="s">
        <v>791</v>
      </c>
      <c r="F241" t="s">
        <v>27</v>
      </c>
      <c r="G241" s="1">
        <v>46090</v>
      </c>
      <c r="H241" s="1">
        <v>46120</v>
      </c>
      <c r="I241">
        <v>3114052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f t="shared" si="3"/>
        <v>3114052</v>
      </c>
      <c r="P241" t="s">
        <v>28</v>
      </c>
      <c r="Q241" t="s">
        <v>792</v>
      </c>
      <c r="R241" t="s">
        <v>793</v>
      </c>
      <c r="S241" t="s">
        <v>32</v>
      </c>
      <c r="T241" t="s">
        <v>32</v>
      </c>
      <c r="U241" t="s">
        <v>794</v>
      </c>
      <c r="V241" t="s">
        <v>795</v>
      </c>
      <c r="W241">
        <v>8</v>
      </c>
      <c r="X241" s="1">
        <v>46090.69669879647</v>
      </c>
    </row>
    <row r="242" spans="1:24" x14ac:dyDescent="0.2">
      <c r="A242" t="s">
        <v>798</v>
      </c>
      <c r="B242" t="s">
        <v>799</v>
      </c>
      <c r="C242" t="s">
        <v>25</v>
      </c>
      <c r="D242">
        <v>0</v>
      </c>
      <c r="E242" t="s">
        <v>791</v>
      </c>
      <c r="F242" t="s">
        <v>27</v>
      </c>
      <c r="G242" s="1">
        <v>46098</v>
      </c>
      <c r="H242" s="1">
        <v>46129</v>
      </c>
      <c r="I242">
        <v>3114052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f t="shared" si="3"/>
        <v>3114052</v>
      </c>
      <c r="P242" t="s">
        <v>28</v>
      </c>
      <c r="Q242" t="s">
        <v>792</v>
      </c>
      <c r="R242" t="s">
        <v>793</v>
      </c>
      <c r="S242" t="s">
        <v>32</v>
      </c>
      <c r="T242" t="s">
        <v>32</v>
      </c>
      <c r="U242" t="s">
        <v>794</v>
      </c>
      <c r="V242" t="s">
        <v>795</v>
      </c>
      <c r="W242">
        <v>8</v>
      </c>
      <c r="X242" s="1">
        <v>46098.498796296306</v>
      </c>
    </row>
  </sheetData>
  <autoFilter ref="A1:X24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cxphoy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Distrileco ventas</dc:creator>
  <cp:lastModifiedBy>Distrileco ventas</cp:lastModifiedBy>
  <dcterms:created xsi:type="dcterms:W3CDTF">2026-03-21T13:56:52Z</dcterms:created>
  <dcterms:modified xsi:type="dcterms:W3CDTF">2026-03-21T13:56:52Z</dcterms:modified>
</cp:coreProperties>
</file>